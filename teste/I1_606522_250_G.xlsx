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sumo" sheetId="1" state="visible" r:id="rId1"/>
    <sheet name="Inciso I" sheetId="2" state="visible" r:id="rId2"/>
    <sheet name="Inciso III" sheetId="3" state="visible" r:id="rId3"/>
  </sheets>
</workbook>
</file>

<file path=xl/sharedStrings.xml><?xml version="1.0" encoding="utf-8"?>
<sst xmlns="http://schemas.openxmlformats.org/spreadsheetml/2006/main" count="923" uniqueCount="923">
  <si>
    <t xml:space="preserve">idCompra</t>
  </si>
  <si>
    <t xml:space="preserve">idItemCompra</t>
  </si>
  <si>
    <t xml:space="preserve">forma</t>
  </si>
  <si>
    <t xml:space="preserve">modalidade</t>
  </si>
  <si>
    <t xml:space="preserve">criterioJulgamento</t>
  </si>
  <si>
    <t xml:space="preserve">numeroItemCompra</t>
  </si>
  <si>
    <t xml:space="preserve">descricaoItem</t>
  </si>
  <si>
    <t xml:space="preserve">codigoItemCatalogo</t>
  </si>
  <si>
    <t xml:space="preserve">nomeUnidadeMedida</t>
  </si>
  <si>
    <t xml:space="preserve">siglaUnidadeMedida</t>
  </si>
  <si>
    <t xml:space="preserve">nomeUnidadeFornecimento</t>
  </si>
  <si>
    <t xml:space="preserve">siglaUnidadeFornecimento</t>
  </si>
  <si>
    <t xml:space="preserve">capacidadeUnidadeFornecimento</t>
  </si>
  <si>
    <t xml:space="preserve">quantidade</t>
  </si>
  <si>
    <t xml:space="preserve">precoUnitario</t>
  </si>
  <si>
    <t xml:space="preserve">percentualMaiorDesconto</t>
  </si>
  <si>
    <t xml:space="preserve">niFornecedor</t>
  </si>
  <si>
    <t xml:space="preserve">nomeFornecedor</t>
  </si>
  <si>
    <t xml:space="preserve">marca</t>
  </si>
  <si>
    <t xml:space="preserve">codigoUasg</t>
  </si>
  <si>
    <t xml:space="preserve">nomeUasg</t>
  </si>
  <si>
    <t xml:space="preserve">codigoMunicipio</t>
  </si>
  <si>
    <t xml:space="preserve">municipio</t>
  </si>
  <si>
    <t xml:space="preserve">estado</t>
  </si>
  <si>
    <t xml:space="preserve">codigoOrgao</t>
  </si>
  <si>
    <t xml:space="preserve">nomeOrgao</t>
  </si>
  <si>
    <t xml:space="preserve">poder</t>
  </si>
  <si>
    <t xml:space="preserve">esfera</t>
  </si>
  <si>
    <t xml:space="preserve">dataCompra</t>
  </si>
  <si>
    <t xml:space="preserve">dataHoraAtualizacaoCompra</t>
  </si>
  <si>
    <t xml:space="preserve">dataHoraAtualizacaoItem</t>
  </si>
  <si>
    <t xml:space="preserve">dataResultado</t>
  </si>
  <si>
    <t xml:space="preserve">dataHoraAtualizacaoUasg</t>
  </si>
  <si>
    <t xml:space="preserve">codigoClasse</t>
  </si>
  <si>
    <t xml:space="preserve">nomeClasse</t>
  </si>
  <si>
    <t xml:space="preserve">objetoCompra</t>
  </si>
  <si>
    <t xml:space="preserve">descricaoDetalhadaItem</t>
  </si>
  <si>
    <t xml:space="preserve">Regiao</t>
  </si>
  <si>
    <t xml:space="preserve">unidadeFornecimento</t>
  </si>
  <si>
    <t xml:space="preserve">Q1</t>
  </si>
  <si>
    <t xml:space="preserve">Q3</t>
  </si>
  <si>
    <t xml:space="preserve">IQR</t>
  </si>
  <si>
    <t xml:space="preserve">limite_inferior</t>
  </si>
  <si>
    <t xml:space="preserve">limite_superior</t>
  </si>
  <si>
    <t xml:space="preserve">Status</t>
  </si>
  <si>
    <t xml:space="preserve">Justificativa</t>
  </si>
  <si>
    <t xml:space="preserve">13500505900012026</t>
  </si>
  <si>
    <t xml:space="preserve">SISRP</t>
  </si>
  <si>
    <t xml:space="preserve">V</t>
  </si>
  <si>
    <t xml:space="preserve">CAFÉ, APRESENTAÇÃO: TORRADO MOÍDO , TIPO: ÚNICO , TORREFAÇÃO: PONTO DE TORRA ESCURA </t>
  </si>
  <si>
    <t xml:space="preserve">G</t>
  </si>
  <si>
    <t xml:space="preserve">PACOTE</t>
  </si>
  <si>
    <t xml:space="preserve">PCT</t>
  </si>
  <si>
    <t xml:space="preserve">37128778000190</t>
  </si>
  <si>
    <t xml:space="preserve">M7 DISTRIBUIDORA COMERCIO E SERVICOS LTDA</t>
  </si>
  <si>
    <t xml:space="preserve">cafe</t>
  </si>
  <si>
    <t xml:space="preserve">135005</t>
  </si>
  <si>
    <t xml:space="preserve">EMBRAPA RORAIMA/BOA VISTA/RR</t>
  </si>
  <si>
    <t xml:space="preserve">BOA VISTA</t>
  </si>
  <si>
    <t xml:space="preserve">RR</t>
  </si>
  <si>
    <t xml:space="preserve">EMPRESA BRASILEIRA DE PESQUISA AGROPECUARIA</t>
  </si>
  <si>
    <t xml:space="preserve">E</t>
  </si>
  <si>
    <t xml:space="preserve">F</t>
  </si>
  <si>
    <t xml:space="preserve">CAFÉ, CHÁ E CHOCOLATE</t>
  </si>
  <si>
    <t xml:space="preserve">Objeto: Pregão Eletrônico -  Registro de Preços para eventual aquisição e entrega parcelada de Eventual aquisição e entrega parcelada de KITS DE CAFÉ DA MANHÃ, GÊNEROS DE ALIMENTAÇÃO E MATERIAIS DE LIMPEZA para a Embrapa Roraima.</t>
  </si>
  <si>
    <t xml:space="preserve">CAFÉ, APRESENTAÇÃO TORRADO MOÍDO, TIPO ÚNICO, TORREFAÇÃO PONTO DE TORRA ESCURA</t>
  </si>
  <si>
    <t xml:space="preserve">Norte</t>
  </si>
  <si>
    <t xml:space="preserve">250 G</t>
  </si>
  <si>
    <t xml:space="preserve">Incluído</t>
  </si>
  <si>
    <t xml:space="preserve">98591906000342026</t>
  </si>
  <si>
    <t xml:space="preserve">SISPP</t>
  </si>
  <si>
    <t xml:space="preserve">1</t>
  </si>
  <si>
    <t xml:space="preserve">CAIXA</t>
  </si>
  <si>
    <t xml:space="preserve">CX</t>
  </si>
  <si>
    <t xml:space="preserve">18764220000157</t>
  </si>
  <si>
    <t xml:space="preserve">M.J.A. COMERCIO ATACADISTA LTDA</t>
  </si>
  <si>
    <t xml:space="preserve">Fort</t>
  </si>
  <si>
    <t xml:space="preserve">985919</t>
  </si>
  <si>
    <t xml:space="preserve">PREFEITURA MUNICIPAL DE TRES RIOS - RJ</t>
  </si>
  <si>
    <t xml:space="preserve">TRÊS RIOS</t>
  </si>
  <si>
    <t xml:space="preserve">RJ</t>
  </si>
  <si>
    <t xml:space="preserve">M</t>
  </si>
  <si>
    <t xml:space="preserve">Aquisição de gêneros alimentícios.</t>
  </si>
  <si>
    <t xml:space="preserve">Café apresentação: torrado moído, tipo: único, torrefação: ponto de torra escura </t>
  </si>
  <si>
    <t xml:space="preserve">Sudeste</t>
  </si>
  <si>
    <t xml:space="preserve">500 G</t>
  </si>
  <si>
    <t xml:space="preserve">92856106000322026</t>
  </si>
  <si>
    <t xml:space="preserve">60915736000111</t>
  </si>
  <si>
    <t xml:space="preserve">CAMPOS SOLUCOES ATACADISTAS LTDA</t>
  </si>
  <si>
    <t xml:space="preserve">OURO</t>
  </si>
  <si>
    <t xml:space="preserve">928561</t>
  </si>
  <si>
    <t xml:space="preserve">NITEROI PREVI</t>
  </si>
  <si>
    <t xml:space="preserve">NITERÓI</t>
  </si>
  <si>
    <t xml:space="preserve">O objeto do presente contratação é a escolha da proposta mais vantajosa para a contratação, por dispensa de licitação, de Aquisição dos materiais de Copa e Cozinha, entre eles: Café 500g, Adoçante, Copo plástico 200ml e Copo plástico 50ml, de acordo com as condições estabelecidas no Aviso de Dispensa e seus anexos</t>
  </si>
  <si>
    <t xml:space="preserve">17034705900032026</t>
  </si>
  <si>
    <t xml:space="preserve">56258156000121</t>
  </si>
  <si>
    <t xml:space="preserve">ELIAH VENDAS E MARKETING LTDA</t>
  </si>
  <si>
    <t xml:space="preserve">extra forte 250g</t>
  </si>
  <si>
    <t xml:space="preserve">170347</t>
  </si>
  <si>
    <t xml:space="preserve">SUPERINTENDENCIA REG ADMINISTRACAO DO MGI-RR</t>
  </si>
  <si>
    <t xml:space="preserve">MIN.DA GEST.E DA INOVACAO EM SERVICOS PUBLICO</t>
  </si>
  <si>
    <t xml:space="preserve">Objeto: Pregão Eletrônico -  Aquisição de material de consumo, visando atender às necessidades da SRA/RR e órgãos clientes, durante o exercício de 2026</t>
  </si>
  <si>
    <t xml:space="preserve">78930006000192026</t>
  </si>
  <si>
    <t xml:space="preserve">62401915000166</t>
  </si>
  <si>
    <t xml:space="preserve">62.401.915 LUANA ALMEIDA PACHECO</t>
  </si>
  <si>
    <t xml:space="preserve">Conf.TR</t>
  </si>
  <si>
    <t xml:space="preserve">789300</t>
  </si>
  <si>
    <t xml:space="preserve">CAPITANIA FLUVIAL DO RIO PARANÁ</t>
  </si>
  <si>
    <t xml:space="preserve">FOZ DO IGUAÇU</t>
  </si>
  <si>
    <t xml:space="preserve">PR</t>
  </si>
  <si>
    <t xml:space="preserve">COMANDO DA MARINHA</t>
  </si>
  <si>
    <t xml:space="preserve">Aquisição de produtos alimenticíos para a Capitania Fluvial do Rio Paraná</t>
  </si>
  <si>
    <t xml:space="preserve">Sul</t>
  </si>
  <si>
    <t xml:space="preserve">92643806000302026</t>
  </si>
  <si>
    <t xml:space="preserve">926438</t>
  </si>
  <si>
    <t xml:space="preserve">CONSELHO REG.DOS REPRESENTANTES COMERCIAIS-MG</t>
  </si>
  <si>
    <t xml:space="preserve">BELO HORIZONTE</t>
  </si>
  <si>
    <t xml:space="preserve">MG</t>
  </si>
  <si>
    <t xml:space="preserve">Aquisição de gêneros alimentícios - café torrado e moído, açúcar do tipo cristal e adoçante dietético líquido. </t>
  </si>
  <si>
    <t xml:space="preserve">98061505900302025</t>
  </si>
  <si>
    <t xml:space="preserve">34642561000106</t>
  </si>
  <si>
    <t xml:space="preserve">A. N. GOMES LTDA</t>
  </si>
  <si>
    <t xml:space="preserve">PURO.</t>
  </si>
  <si>
    <t xml:space="preserve">980615</t>
  </si>
  <si>
    <t xml:space="preserve">PREFEITURA MUNICIPAL DE SANTANA - AP</t>
  </si>
  <si>
    <t xml:space="preserve">SANTANA</t>
  </si>
  <si>
    <t xml:space="preserve">AP</t>
  </si>
  <si>
    <t xml:space="preserve">Objeto: Pregão Eletrônico -  Registro de preçopara futura e eventual aquisição de materiais de consumo (alimentos) para o atendimento das demandas da Secretaria Municipal De Educação-SEME/PMS, conforme condições, quantidades e exigências estabelecidas neste edital e seus anexos.</t>
  </si>
  <si>
    <t xml:space="preserve">12063005900432025</t>
  </si>
  <si>
    <t xml:space="preserve">UNIDADE</t>
  </si>
  <si>
    <t xml:space="preserve">UN</t>
  </si>
  <si>
    <t xml:space="preserve">23713577000146</t>
  </si>
  <si>
    <t xml:space="preserve">CAFE VIDA NOVA INDUSTRIA E COMERCIO LTDA</t>
  </si>
  <si>
    <t xml:space="preserve">TRADICIONAL BLEND 50</t>
  </si>
  <si>
    <t xml:space="preserve">120630</t>
  </si>
  <si>
    <t xml:space="preserve">GRUPAMENTO DE APOIO DE MANAUS</t>
  </si>
  <si>
    <t xml:space="preserve">MANAUS</t>
  </si>
  <si>
    <t xml:space="preserve">AM</t>
  </si>
  <si>
    <t xml:space="preserve">COMANDO DA AERONÁUTICA</t>
  </si>
  <si>
    <t xml:space="preserve">Objeto: Pregão Eletrônico -  Aquisição de Gêneros Alimentícios não perecíveis, visando o fornecimento de alimentação ao efetivo do Grupamento de Apoio de Manaus e suas respectivas Unidades Apoiadas</t>
  </si>
  <si>
    <t xml:space="preserve">1 UN</t>
  </si>
  <si>
    <t xml:space="preserve">15836505900032025</t>
  </si>
  <si>
    <t xml:space="preserve">59089998000195</t>
  </si>
  <si>
    <t xml:space="preserve">JUMBO SAUDE IMPORTACAO E EXPORTACAO LTDA</t>
  </si>
  <si>
    <t xml:space="preserve">CAFÉ 100% ARÁBICA 25</t>
  </si>
  <si>
    <t xml:space="preserve">158365</t>
  </si>
  <si>
    <t xml:space="preserve">INST.FED.DO R.G.DO NORTE/CAMPUS MOSSORó</t>
  </si>
  <si>
    <t xml:space="preserve">MOSSORÓ</t>
  </si>
  <si>
    <t xml:space="preserve">RN</t>
  </si>
  <si>
    <t xml:space="preserve">INST.FED.DE EDUC.,CIENC.E TEC.DO R.G.DO NORTE</t>
  </si>
  <si>
    <t xml:space="preserve">Objeto: Pregão Eletrônico -  Aquisição de gêneros alimentícios, com entregas parceladas, paraos campi do IFRN da região oeste do Rio Grandedo Norte (Mossoró, Pau dos Ferros, Apodi e Ipanguaçu).</t>
  </si>
  <si>
    <t xml:space="preserve">Nordeste</t>
  </si>
  <si>
    <t xml:space="preserve">15814805900542025</t>
  </si>
  <si>
    <t xml:space="preserve">05659230000180</t>
  </si>
  <si>
    <t xml:space="preserve">L. M. COMERCIO DE PRODUTOS ALIMENTICIOS LTDA</t>
  </si>
  <si>
    <t xml:space="preserve">DAQUI</t>
  </si>
  <si>
    <t xml:space="preserve">158148</t>
  </si>
  <si>
    <t xml:space="preserve">INST.FED.DE EDUC.,CIENC.E TEC.DE RONDONIA</t>
  </si>
  <si>
    <t xml:space="preserve">PORTO VELHO</t>
  </si>
  <si>
    <t xml:space="preserve">RO</t>
  </si>
  <si>
    <t xml:space="preserve">INST.FED.DE EDUC.,CIENC.E TEC. DE RONDONIA</t>
  </si>
  <si>
    <t xml:space="preserve">Objeto: Pregão Eletrônico -  Aquisição de Gêneros Alimentícios</t>
  </si>
  <si>
    <t xml:space="preserve">26483526000163</t>
  </si>
  <si>
    <t xml:space="preserve">MULTIMED PRODUTOS ODONTO-MEDICO-HOSPITALAR LTDA</t>
  </si>
  <si>
    <t xml:space="preserve">CAFÉ</t>
  </si>
  <si>
    <t xml:space="preserve">47417807000198</t>
  </si>
  <si>
    <t xml:space="preserve">MATAS DE MINAS COMERCIO DE CAFE LTDA</t>
  </si>
  <si>
    <t xml:space="preserve">MALABI SUPERIOR</t>
  </si>
  <si>
    <t xml:space="preserve">92991106001362025</t>
  </si>
  <si>
    <t xml:space="preserve">49770377000119</t>
  </si>
  <si>
    <t xml:space="preserve">49.770.377 BRUNO GIRARDI DA ROCHA</t>
  </si>
  <si>
    <t xml:space="preserve">Melita</t>
  </si>
  <si>
    <t xml:space="preserve">929911</t>
  </si>
  <si>
    <t xml:space="preserve">CAMARA MUNICIPAL DE SÃO JERÔNIMO - RS</t>
  </si>
  <si>
    <t xml:space="preserve">SÃO JERÔNIMO</t>
  </si>
  <si>
    <t xml:space="preserve">RS</t>
  </si>
  <si>
    <t xml:space="preserve">CÂMARA MUNICIPAL DE SÃO JERÔNIMO - RS</t>
  </si>
  <si>
    <t xml:space="preserve">Aquisição de Açucar, Café e Chá</t>
  </si>
  <si>
    <t xml:space="preserve">15836505900012024</t>
  </si>
  <si>
    <t xml:space="preserve">11205406000127</t>
  </si>
  <si>
    <t xml:space="preserve">J DE MOURA VALE</t>
  </si>
  <si>
    <t xml:space="preserve">Maratá</t>
  </si>
  <si>
    <t xml:space="preserve">Objeto: Pregão Eletrônico -  Aquisição de gêneros alimentícios, para atender a demanda de fornecimento de alimentação escolar, no âmbito do Programa Nacional de Alimentação Escolar - PNAE, para os campi do IFRN Apodi, Ipanguaçu, Mossoró e Pau dos Ferros, por meio de SRP (sistema de registro de preços).</t>
  </si>
  <si>
    <t xml:space="preserve">Excluido</t>
  </si>
  <si>
    <t xml:space="preserve">Inexequível</t>
  </si>
  <si>
    <t xml:space="preserve">8001805900222025</t>
  </si>
  <si>
    <t xml:space="preserve">50939843000126</t>
  </si>
  <si>
    <t xml:space="preserve">CM DISTRIBUIDORA LTDA</t>
  </si>
  <si>
    <t xml:space="preserve">Malabi/Tipo Superior</t>
  </si>
  <si>
    <t xml:space="preserve">080018</t>
  </si>
  <si>
    <t xml:space="preserve">TRIBUNAL REGIONAL DO TRABALHO DA 16. REGIAO</t>
  </si>
  <si>
    <t xml:space="preserve">SÃO LUÍS</t>
  </si>
  <si>
    <t xml:space="preserve">MA</t>
  </si>
  <si>
    <t xml:space="preserve">JUSTICA DO TRABALHO</t>
  </si>
  <si>
    <t xml:space="preserve">L</t>
  </si>
  <si>
    <t xml:space="preserve">Objeto: Pregão Eletrônico -  Constituição de Registro de Preços para aquisição eventual e futura de de café torrado e moído, conforme condições, quantidades e exigências estabelecidas no Termo de Referência, Anexo I, do Edital.</t>
  </si>
  <si>
    <t xml:space="preserve">63310411000101</t>
  </si>
  <si>
    <t xml:space="preserve">TRES CORACOES ALIMENTOS S.A.</t>
  </si>
  <si>
    <t xml:space="preserve">PACOTE 250G VÁCUO</t>
  </si>
  <si>
    <t xml:space="preserve">25442005900592025</t>
  </si>
  <si>
    <t xml:space="preserve">CAFÉ 100% ARÁBICA 50</t>
  </si>
  <si>
    <t xml:space="preserve">254420</t>
  </si>
  <si>
    <t xml:space="preserve">FUNDACAO OSWALDO CRUZ/RJ</t>
  </si>
  <si>
    <t xml:space="preserve">RIO DE JANEIRO</t>
  </si>
  <si>
    <t xml:space="preserve">FUNDACAO OSWALDO CRUZ</t>
  </si>
  <si>
    <t xml:space="preserve">Objeto: Pregão Eletrônico -  Registro de Preços para aquisição de GÊNEROS ALIMENTÍCIOS, com entregas no Rio de Janeiro/RJ e Curitiba/Paraná,nos termos da tabela abaixo, conforme condições e exigências estabelecidas neste instrumento.</t>
  </si>
  <si>
    <t xml:space="preserve">17007805900092025</t>
  </si>
  <si>
    <t xml:space="preserve">54574863000100</t>
  </si>
  <si>
    <t xml:space="preserve">C2 COMERCIO DE ALIMENTOS E PRODUTOS PARA SAUDE LTDA</t>
  </si>
  <si>
    <t xml:space="preserve">170078</t>
  </si>
  <si>
    <t xml:space="preserve">SUP.REGIONAL RECEITA FEDERAL 5A.RF/BA</t>
  </si>
  <si>
    <t xml:space="preserve">SALVADOR</t>
  </si>
  <si>
    <t xml:space="preserve">BA</t>
  </si>
  <si>
    <t xml:space="preserve">MINISTERIO DA FAZENDA</t>
  </si>
  <si>
    <t xml:space="preserve">Objeto: Pregão Eletrônico -  Registro de preços para eventual aquisição de materiais de consumo destinados a atender às necessidades da Superintendência Regional da Receita Federal do Brasil da 5ª Região Fiscal   SRRF05 e demais unidades jurisdicionadas</t>
  </si>
  <si>
    <t xml:space="preserve">20039405900052025</t>
  </si>
  <si>
    <t xml:space="preserve">59102504000165</t>
  </si>
  <si>
    <t xml:space="preserve">INACIA FERNANDA ALMEIDA DOS SANTOS SILVA</t>
  </si>
  <si>
    <t xml:space="preserve">DO FABRICANTE</t>
  </si>
  <si>
    <t xml:space="preserve">200394</t>
  </si>
  <si>
    <t xml:space="preserve">SUPERINTENDENCIA REG.DEP.POLICIA FEDERAL- RN</t>
  </si>
  <si>
    <t xml:space="preserve">NATAL</t>
  </si>
  <si>
    <t xml:space="preserve">DEPARTAMENTO DE POLICIA FEDERAL</t>
  </si>
  <si>
    <t xml:space="preserve">Objeto: Pregão Eletrônico -  Registro de Preçopara empresa especializada no fornecimento sobdemanda Gênero Alimentício (café, Açúcar e Adoçante)</t>
  </si>
  <si>
    <t xml:space="preserve">15814806002932025</t>
  </si>
  <si>
    <t xml:space="preserve">0</t>
  </si>
  <si>
    <t xml:space="preserve">42040325000148</t>
  </si>
  <si>
    <t xml:space="preserve">AGROBOM - COOPERATIVA DOS PRODUTORES RURAIS DA AGRICULTURA FAMILIAR</t>
  </si>
  <si>
    <t xml:space="preserve">na</t>
  </si>
  <si>
    <t xml:space="preserve">Aquisição de Gêneros Alimentícios para o PNAE</t>
  </si>
  <si>
    <t xml:space="preserve">Café apresentação: torrado moído, tipo: único, torrefação: ponto de torra escura</t>
  </si>
  <si>
    <t xml:space="preserve">38940306000072025</t>
  </si>
  <si>
    <t xml:space="preserve">54651716000188</t>
  </si>
  <si>
    <t xml:space="preserve">SUPRICORP SUPRIMENTOS LTDA</t>
  </si>
  <si>
    <t xml:space="preserve">Melitta</t>
  </si>
  <si>
    <t xml:space="preserve">389403</t>
  </si>
  <si>
    <t xml:space="preserve">CONSELHO REGIONAL DE ECONOMIA 1ª - RJ</t>
  </si>
  <si>
    <t xml:space="preserve">CONSELHO REGIONAL DE ECONOMIA 1A REGIAO-RJ</t>
  </si>
  <si>
    <t xml:space="preserve">Aquisição de gêneros alimentícios</t>
  </si>
  <si>
    <t xml:space="preserve">92546405900332025</t>
  </si>
  <si>
    <t xml:space="preserve">40261798000140</t>
  </si>
  <si>
    <t xml:space="preserve">FREITAS E PORTO PARTICIPACOES LTDA</t>
  </si>
  <si>
    <t xml:space="preserve">UNIÃO/MELITTA/EVOLUT</t>
  </si>
  <si>
    <t xml:space="preserve">925464</t>
  </si>
  <si>
    <t xml:space="preserve">TRIBUNAL DE CONTAS DO ESTADO DO R. DE JANEIRO</t>
  </si>
  <si>
    <t xml:space="preserve">Objeto: Pregão Eletrônico -  Aquisição de materiais de copa e cozinha e gêneros de alimentação, com vistas ao suporte na consecução nos diversos serviços realizados pelas unidades organizacionais do Tribunal de Contas do Estado do Riode Janeiro   TCE-RJ, conforme condições, quantidades e especificações contidas no TERMO DE REFERÊNCIA   ANEXO I do edital.</t>
  </si>
  <si>
    <t xml:space="preserve">98641105900802025</t>
  </si>
  <si>
    <t xml:space="preserve">13557058000182</t>
  </si>
  <si>
    <t xml:space="preserve">RASERA DISTRIBUIDORA DE ALIMENTOS LTDA</t>
  </si>
  <si>
    <t xml:space="preserve">DIVERSOS</t>
  </si>
  <si>
    <t xml:space="preserve">986411</t>
  </si>
  <si>
    <t xml:space="preserve">PREFEITURA MUNICIPAL DE FERNANDOPOLIS - SP</t>
  </si>
  <si>
    <t xml:space="preserve">FERNANDÓPOLIS</t>
  </si>
  <si>
    <t xml:space="preserve">SP</t>
  </si>
  <si>
    <t xml:space="preserve">Objeto: Pregão Eletrônico -  Elaboração de atade registro de preços para a contratação de empresa especializada no fornecimento de gêneros alimentícios do município de Fernandópolis, comprevisão de consumo parceladamente no decorrerde 12 (doze) meses</t>
  </si>
  <si>
    <t xml:space="preserve">92648405900352025</t>
  </si>
  <si>
    <t xml:space="preserve">11914096000110</t>
  </si>
  <si>
    <t xml:space="preserve">PH&amp;B COMERCIO &amp; SERVICOS LTDA</t>
  </si>
  <si>
    <t xml:space="preserve">BLEND 53</t>
  </si>
  <si>
    <t xml:space="preserve">926484</t>
  </si>
  <si>
    <t xml:space="preserve">PROCURADORIA GERAL DE JUSTIÇA NO CEARA</t>
  </si>
  <si>
    <t xml:space="preserve">FORTALEZA</t>
  </si>
  <si>
    <t xml:space="preserve">CE</t>
  </si>
  <si>
    <t xml:space="preserve">Objeto: Pregão Eletrônico -  Registro de preços para futuras aquisições de gêneros alimentícios, conforme especificações e quantidades discriminadas no Anexo A do Termo de Referência.</t>
  </si>
  <si>
    <t xml:space="preserve">15813205902792025</t>
  </si>
  <si>
    <t xml:space="preserve">Tradicional 500g Vác</t>
  </si>
  <si>
    <t xml:space="preserve">158132</t>
  </si>
  <si>
    <t xml:space="preserve">INST.FED.DE EDUC.,CIENC.E TEC DO MAT.G.DO SUL</t>
  </si>
  <si>
    <t xml:space="preserve">CAMPO GRANDE</t>
  </si>
  <si>
    <t xml:space="preserve">MS</t>
  </si>
  <si>
    <t xml:space="preserve">INST.FED.DE EDUC.,CIENC.E TEC.DO MAT.G.DO SUL</t>
  </si>
  <si>
    <t xml:space="preserve">Objeto: Pregão Eletrônico -  Aquisição de gêneros alimentícios para atender a oferta da alimentação escolar do Instituto Federal de Mato Grosso do Sul, campi Coxim e Naviraí.</t>
  </si>
  <si>
    <t xml:space="preserve">Centro-Oeste</t>
  </si>
  <si>
    <t xml:space="preserve">98030105900102025</t>
  </si>
  <si>
    <t xml:space="preserve">05056594000176</t>
  </si>
  <si>
    <t xml:space="preserve">MAX ROYAL COMERCIO E SERVICOS LTDA</t>
  </si>
  <si>
    <t xml:space="preserve">3 Corações</t>
  </si>
  <si>
    <t xml:space="preserve">980301</t>
  </si>
  <si>
    <t xml:space="preserve">PREFEITURA MUNICIPAL DE BOA VISTA - RR</t>
  </si>
  <si>
    <t xml:space="preserve">Objeto: Pregão Eletrônico -  Eventual Aquisição de Material de Consumo (gêneros alimentícios)para o fornecimento de alimentação adequada aoserviço de acolhimento infantil condomínio Pedra Pintada e para o serviço de acolhimento institucional de longa permanência para idosos, para atender as necessidades da Secretaria Municipal de Gestão Social   SEMGES (órgão gerenciador) e dos demais órgãos participantes.</t>
  </si>
  <si>
    <t xml:space="preserve">93153606001332025</t>
  </si>
  <si>
    <t xml:space="preserve">59599423000112</t>
  </si>
  <si>
    <t xml:space="preserve">INDUSTRIA E COMERCIO DE CAFE OURO BRASILEIRO LTDA</t>
  </si>
  <si>
    <t xml:space="preserve">proprio</t>
  </si>
  <si>
    <t xml:space="preserve">931536</t>
  </si>
  <si>
    <t xml:space="preserve">MSP-CÂMARA MUNICIPAL DE SAO CARLOS</t>
  </si>
  <si>
    <t xml:space="preserve">SÃO CARLOS</t>
  </si>
  <si>
    <t xml:space="preserve">aquisição de po de cafe torrado</t>
  </si>
  <si>
    <t xml:space="preserve">98940305900112025</t>
  </si>
  <si>
    <t xml:space="preserve">45071356000154</t>
  </si>
  <si>
    <t xml:space="preserve">PRIME DISTRIBUICAO LTDA</t>
  </si>
  <si>
    <t xml:space="preserve">PRIMEIRA QUALIDADE</t>
  </si>
  <si>
    <t xml:space="preserve">989403</t>
  </si>
  <si>
    <t xml:space="preserve">PREFEITURA MUNICIPAL DE ITABERAÍ - GO</t>
  </si>
  <si>
    <t xml:space="preserve">ITABERAÍ</t>
  </si>
  <si>
    <t xml:space="preserve">GO</t>
  </si>
  <si>
    <t xml:space="preserve">Objeto: Pregão Eletrônico -  Aquisição de Gêneros alimentícios.</t>
  </si>
  <si>
    <t xml:space="preserve">92682906000572025</t>
  </si>
  <si>
    <t xml:space="preserve">62959484000158</t>
  </si>
  <si>
    <t xml:space="preserve">62.959.484 LEONARDO SANTOS COPQUE</t>
  </si>
  <si>
    <t xml:space="preserve">Guidi</t>
  </si>
  <si>
    <t xml:space="preserve">926829</t>
  </si>
  <si>
    <t xml:space="preserve">CONSELHO REG.DE MEDICINA DO ESTADO DE GOIÁS</t>
  </si>
  <si>
    <t xml:space="preserve">GOIÂNIA</t>
  </si>
  <si>
    <t xml:space="preserve">CONSELHO REGIONAL DE MEDICINA - GO</t>
  </si>
  <si>
    <t xml:space="preserve">Aquisição de produtos de copa e cozinha (café, açúcar e copos descartável), conforme discriminado no Termo de Referência.</t>
  </si>
  <si>
    <t xml:space="preserve">Café apresentação: torrado moído, tipo: único, torrefação: ponto de torra escura Conforme Item 3,1. do Termo de Referência </t>
  </si>
  <si>
    <t xml:space="preserve">39300106001932025</t>
  </si>
  <si>
    <t xml:space="preserve">Franchis</t>
  </si>
  <si>
    <t xml:space="preserve">393001</t>
  </si>
  <si>
    <t xml:space="preserve">AGENCIA NACIONAL DE TRANSPORTES TERRESTRES</t>
  </si>
  <si>
    <t xml:space="preserve">BRASÍLIA</t>
  </si>
  <si>
    <t xml:space="preserve">DF</t>
  </si>
  <si>
    <t xml:space="preserve">Aquisição de gêneros alimentícios e de artigos de copa</t>
  </si>
  <si>
    <t xml:space="preserve">Café apresentação: torrado moído, tipo: único, torrefação: ponto de torra escura Conforme Termo de Referência</t>
  </si>
  <si>
    <t xml:space="preserve">20012406000462025</t>
  </si>
  <si>
    <t xml:space="preserve">55818211000128</t>
  </si>
  <si>
    <t xml:space="preserve">EOL LTDA</t>
  </si>
  <si>
    <t xml:space="preserve">TR</t>
  </si>
  <si>
    <t xml:space="preserve">200124</t>
  </si>
  <si>
    <t xml:space="preserve">SUPERINTENDENCIA REG. POL. RODV. FEDERAL-MA</t>
  </si>
  <si>
    <t xml:space="preserve">DEPARTAMENTO DE POLICIA RODOVIARIA FEDERAL/MJ</t>
  </si>
  <si>
    <t xml:space="preserve">Aquisicao de café tipo superior ou acima, pacote de 250 g</t>
  </si>
  <si>
    <t xml:space="preserve">CAFÉ APRESENTAÇÃO: TORRADO MOÍDO, TIPO: ÚNICO, TORREFAÇÃO: PONTO DE TORRA ESCURA </t>
  </si>
  <si>
    <t xml:space="preserve">93317405900032025</t>
  </si>
  <si>
    <t xml:space="preserve">49670223000155</t>
  </si>
  <si>
    <t xml:space="preserve">CAFE FRAGA LTDA</t>
  </si>
  <si>
    <t xml:space="preserve">PCT 500 GRS VACUO</t>
  </si>
  <si>
    <t xml:space="preserve">933174</t>
  </si>
  <si>
    <t xml:space="preserve">AGENCIA MUNICIPAL DE ÁGUA E ESGOTO DE MARÍLIA</t>
  </si>
  <si>
    <t xml:space="preserve">MARÍLIA</t>
  </si>
  <si>
    <t xml:space="preserve">Objeto: Pregão Eletrônico -  REGISTRO DE PREÇO para eventual aquisição  parcelada de de aquisição de 975 kg de açúcar e 975 pacotes de café(500g por pacote), destinadas ao atendimento das demandas administrativas da Agência Municipal de Água e Esgoto de Marília   AMAE, pelo período de 12 (doze) meses. O procedimento licitatório obedecerá integralmente a Lei Federal n.º 14.133, de 2021, Decreto Municipal n.º 14.464/2024 e demais legislações aplicáveis.</t>
  </si>
  <si>
    <t xml:space="preserve">25703305900432025</t>
  </si>
  <si>
    <t xml:space="preserve">58158470000168</t>
  </si>
  <si>
    <t xml:space="preserve">58.158.470 ANDRE DE LIMA CRUZ</t>
  </si>
  <si>
    <t xml:space="preserve">CAFÉ PRINCIPAL</t>
  </si>
  <si>
    <t xml:space="preserve">257033</t>
  </si>
  <si>
    <t xml:space="preserve">DISTRITO SANIT.ESP.INDÍGENA - CEARA</t>
  </si>
  <si>
    <t xml:space="preserve">MINISTERIO DA SAUDE</t>
  </si>
  <si>
    <t xml:space="preserve">Objeto: Pregão Eletrônico -  Registro de Preços para eventual Aquisição de Café para atender as necessidades do DSEI/CE.</t>
  </si>
  <si>
    <t xml:space="preserve">25702306001252025</t>
  </si>
  <si>
    <t xml:space="preserve">61256782000119</t>
  </si>
  <si>
    <t xml:space="preserve">TAMER DE OLIVEIRA RAMOS</t>
  </si>
  <si>
    <t xml:space="preserve">sao braz </t>
  </si>
  <si>
    <t xml:space="preserve">257023</t>
  </si>
  <si>
    <t xml:space="preserve">DISTRITO SANIT.ESP.INDÍGENA AL/SE</t>
  </si>
  <si>
    <t xml:space="preserve">MACEIÓ</t>
  </si>
  <si>
    <t xml:space="preserve">AL</t>
  </si>
  <si>
    <t xml:space="preserve">Aquisição de café e copos descartáveis destinados a atender a demanda dos servidores e visitantes na sede, do Distrito Sanitário Especial Indígena de Alagoas e Sergipe – DSEI/ALSE, CASAI e seus Polos Base.</t>
  </si>
  <si>
    <t xml:space="preserve">45695306000312025</t>
  </si>
  <si>
    <t xml:space="preserve">57012146000174</t>
  </si>
  <si>
    <t xml:space="preserve">AMM LICITACOES LTDA</t>
  </si>
  <si>
    <t xml:space="preserve">GUDI/REALIZA TORREFAÇÃO</t>
  </si>
  <si>
    <t xml:space="preserve">456953</t>
  </si>
  <si>
    <t xml:space="preserve">EAL - AGÊNCIA DE DEF.E INSP.AGROPECUÁRIA/AL</t>
  </si>
  <si>
    <t xml:space="preserve">Aquisição de Gêneros Alimentícios (Café, Chá, Leite e Biscoito)</t>
  </si>
  <si>
    <t xml:space="preserve">78882005900222025</t>
  </si>
  <si>
    <t xml:space="preserve">52955071000141</t>
  </si>
  <si>
    <t xml:space="preserve">ACCV REPRESENTACOES DE MERCADORIAS E SERVICOS PARA ESCRITORIOS LTDA</t>
  </si>
  <si>
    <t xml:space="preserve">CAFE</t>
  </si>
  <si>
    <t xml:space="preserve">788820</t>
  </si>
  <si>
    <t xml:space="preserve">CENTRO DE INTENDENCIA DA MARINHA EM MANAUS</t>
  </si>
  <si>
    <t xml:space="preserve">Objeto: Pregão Eletrônico -  Aquisição de cestas básicas compostas de gêneros alimentícios e de higiene, de primeira necessidade, para doação aos usuários do Núcleo de Assistência Social (NAS) do Comando do 9º Distrito Naval (Com9ºDN)que forem incluídos no Programa de Apoio Socioeconômico, de acordo com o Capítulo 10 das Normas Sobre a Assistência Social da Marinha do Brasil, nos termos da tabela abaixo, conforme condições e exigências estabelecidas neste instrumento.</t>
  </si>
  <si>
    <t xml:space="preserve">98715105901092025</t>
  </si>
  <si>
    <t xml:space="preserve">08528442000117</t>
  </si>
  <si>
    <t xml:space="preserve">NUTRICIONALE COMERCIO DE ALIMENTOS LTDA</t>
  </si>
  <si>
    <t xml:space="preserve">NACIONAL</t>
  </si>
  <si>
    <t xml:space="preserve">987151</t>
  </si>
  <si>
    <t xml:space="preserve">PREFEITURA MUNICIPAL DE SUZANO - SP</t>
  </si>
  <si>
    <t xml:space="preserve">SUZANO</t>
  </si>
  <si>
    <t xml:space="preserve">Objeto: Pregão Eletrônico -  Aquisição de cesta básica para pacientes com tuberculose</t>
  </si>
  <si>
    <t xml:space="preserve">38933705900182025</t>
  </si>
  <si>
    <t xml:space="preserve">56700670000175</t>
  </si>
  <si>
    <t xml:space="preserve">MR COMERCIO DE PRODUTOS  ALIMENTICIOS E FERRAGENS LTDA</t>
  </si>
  <si>
    <t xml:space="preserve">EVOLUTTO</t>
  </si>
  <si>
    <t xml:space="preserve">389337</t>
  </si>
  <si>
    <t xml:space="preserve">CONSELHO REGIONAL DE ENFERMAGEM - RJ</t>
  </si>
  <si>
    <t xml:space="preserve">CONSELHO REGIONAL DE ENFERMAGEM/RJ</t>
  </si>
  <si>
    <t xml:space="preserve">Objeto: Pregão Eletrônico -  Aquisição de cafétorrado e moído do tipo único, nos termos da tabela abaixo, conforme condições e exigências estabelecidas neste instrumento.</t>
  </si>
  <si>
    <t xml:space="preserve">98940305901192025</t>
  </si>
  <si>
    <t xml:space="preserve">03370573000103</t>
  </si>
  <si>
    <t xml:space="preserve">J. T. INDUSTRIA E COMERCIO DE CAFES LTDA</t>
  </si>
  <si>
    <t xml:space="preserve">TRADICIONAL A VÁCUO</t>
  </si>
  <si>
    <t xml:space="preserve">Objeto: Pregão Eletrônico -  Aquisição de cafémoído de torrado.</t>
  </si>
  <si>
    <t xml:space="preserve">12003905900842025</t>
  </si>
  <si>
    <t xml:space="preserve">59553839000108</t>
  </si>
  <si>
    <t xml:space="preserve">GABBA DISTRIBUIDORA LTDA</t>
  </si>
  <si>
    <t xml:space="preserve">500G</t>
  </si>
  <si>
    <t xml:space="preserve">120039</t>
  </si>
  <si>
    <t xml:space="preserve">MAER-GRUPAMENTO DE APOIO/RJ</t>
  </si>
  <si>
    <t xml:space="preserve">Objeto: Pregão Eletrônico -  Aquisição de gêneros alimentícios para o GAP-RJ e CFIAe.</t>
  </si>
  <si>
    <t xml:space="preserve">15812106001942025</t>
  </si>
  <si>
    <t xml:space="preserve">GUIDI/REALIZA TORREFAÇÃO</t>
  </si>
  <si>
    <t xml:space="preserve">158121</t>
  </si>
  <si>
    <t xml:space="preserve">INST.FED.DE EDUC.,CIÊNC.E TEC.DO NORTE DE MG</t>
  </si>
  <si>
    <t xml:space="preserve">MONTES CLAROS</t>
  </si>
  <si>
    <t xml:space="preserve">INST.FED.DE EDUC., CIENC.E TEC.DO NORTE DE MG</t>
  </si>
  <si>
    <t xml:space="preserve">Aquisição de Gêneros Alimentícios (café e açúcar),  para atendimento ao IFNMG - Campus Araçuaí.</t>
  </si>
  <si>
    <t xml:space="preserve">20000806000462025</t>
  </si>
  <si>
    <t xml:space="preserve">KG</t>
  </si>
  <si>
    <t xml:space="preserve">55863276000195</t>
  </si>
  <si>
    <t xml:space="preserve">AD3 TALANTE LTDA</t>
  </si>
  <si>
    <t xml:space="preserve">similar </t>
  </si>
  <si>
    <t xml:space="preserve">200008</t>
  </si>
  <si>
    <t xml:space="preserve">MINISTERIO PUBLICO MILITAR - DF</t>
  </si>
  <si>
    <t xml:space="preserve">MINISTERIO PUBLICO DA UNIAO</t>
  </si>
  <si>
    <t xml:space="preserve">Contratação de pessoa jurídica para fornecimento de material de consumo (café e açúcar refinado) visando atender a Procuradoria de Justiça Militar/Porto Alegre - POA/RS, de forma parcelada, durante o exercício de 2026, nos termos da tabela abaixo, conforme condições e exigências estabelecidas neste Instrumento.</t>
  </si>
  <si>
    <t xml:space="preserve">1 KG</t>
  </si>
  <si>
    <t xml:space="preserve">92991106001092025</t>
  </si>
  <si>
    <t xml:space="preserve">60451646000117</t>
  </si>
  <si>
    <t xml:space="preserve">J. RONIER WYSE DE OLIVEIRA</t>
  </si>
  <si>
    <t xml:space="preserve">Café, açucar e chá -Setembro</t>
  </si>
  <si>
    <t xml:space="preserve">Café apresentação: torrado moído, tipo: único, torrefação: ponto de torra escura Entrega no endereço: Rua Bento Gonçalves, entre os números 80 e 92, fundos da Câmara (portão verde) das 9h as 12h e das 13h as 15h.</t>
  </si>
  <si>
    <t xml:space="preserve">98586505900062025</t>
  </si>
  <si>
    <t xml:space="preserve">31021788000146</t>
  </si>
  <si>
    <t xml:space="preserve">F PEREIRA COMERCIO E DISTRIBUIDORA LTDA</t>
  </si>
  <si>
    <t xml:space="preserve">EMBALAGEM DE 500 GRA</t>
  </si>
  <si>
    <t xml:space="preserve">985865</t>
  </si>
  <si>
    <t xml:space="preserve">MRJ- PREFEITURA MUNICIPAL DE NITERO</t>
  </si>
  <si>
    <t xml:space="preserve">MRJ-PREFEITURA MUNICIPAL  DE NITERO</t>
  </si>
  <si>
    <t xml:space="preserve">Objeto: Pregão Eletrônico -  Formação de Ata de Registro de Preços para AQUISIÇÃO DE PÓ DE CAFÉ HOMOGÊNIO E AÇUCAR REFINADO para atender às necessidades da Prefeitura Municipal de Niterói, conforme condições, quantidades e exigências estabelecidas no Termo de Referência.</t>
  </si>
  <si>
    <t xml:space="preserve">35011306000092025</t>
  </si>
  <si>
    <t xml:space="preserve">10247643000198</t>
  </si>
  <si>
    <t xml:space="preserve">VIASUPRI SUPRIMENTOS DE ESCRITORIO E LIMPEZA LTDA</t>
  </si>
  <si>
    <t xml:space="preserve">MELLITA</t>
  </si>
  <si>
    <t xml:space="preserve">350113</t>
  </si>
  <si>
    <t xml:space="preserve">ESP-DIV.REG.DE ASSIST.SOCIAL-GRANDE SP LESTE</t>
  </si>
  <si>
    <t xml:space="preserve">MOGI DAS CRUZES</t>
  </si>
  <si>
    <t xml:space="preserve">ESP-SECRETARIA DE DESENVOLVIMENTO SOCIAL</t>
  </si>
  <si>
    <t xml:space="preserve">GENERO ALIMENTICIO</t>
  </si>
  <si>
    <t xml:space="preserve">92799605903072025</t>
  </si>
  <si>
    <t xml:space="preserve">10268391000183</t>
  </si>
  <si>
    <t xml:space="preserve">GREYCILANE S. PEREIRA</t>
  </si>
  <si>
    <t xml:space="preserve">MUDAS CAFÉ</t>
  </si>
  <si>
    <t xml:space="preserve">927996</t>
  </si>
  <si>
    <t xml:space="preserve">EAC-SECRETARIA DE EST.INDÚST.CIÊNCIA E TECNOL</t>
  </si>
  <si>
    <t xml:space="preserve">RIO BRANCO</t>
  </si>
  <si>
    <t xml:space="preserve">AC</t>
  </si>
  <si>
    <t xml:space="preserve">Objeto: Pregão Eletrônico -  O presente termo tem por objeto a contratação de empresa para aquisição de material de consumo (Mudas de café, calcário dolominico e fertilizante), visando atender as necessidades da Secretaria de Estado de Agricultura - SEAGRI, conforme condições e exigências estabelecidas neste instrumento.</t>
  </si>
  <si>
    <t xml:space="preserve">45043205900332025</t>
  </si>
  <si>
    <t xml:space="preserve">04119118000194</t>
  </si>
  <si>
    <t xml:space="preserve">JARDA COMERCIAL DE ALIMENTOS LTDA</t>
  </si>
  <si>
    <t xml:space="preserve">EXPORT 500 G</t>
  </si>
  <si>
    <t xml:space="preserve">450432</t>
  </si>
  <si>
    <t xml:space="preserve">EDF-SECRETARIA DE ESTADO DE EDUCACAO DO DF</t>
  </si>
  <si>
    <t xml:space="preserve">EDF-SECRETARIA DE ESTADO DE EDUCACAO</t>
  </si>
  <si>
    <t xml:space="preserve">Objeto: Pregão Eletrônico -  Aquisição de material de consumo (café em pó), por meio de Sistema de Registro de Preços, visando atender às necessidades das unidades administrativas da Secretaria de Estado de Educação do Distrito Federal -SEE/DF, conforme condições e especificações constantes neste instrumento e seus anexos.    ESPECIFICIDADES DO OBJETO</t>
  </si>
  <si>
    <t xml:space="preserve">15851605911032025</t>
  </si>
  <si>
    <t xml:space="preserve">27238756000120</t>
  </si>
  <si>
    <t xml:space="preserve">BARRA COMERCIO E DISTRIBUICAO DE ALIMENTOS LTDA</t>
  </si>
  <si>
    <t xml:space="preserve">CABLOCO</t>
  </si>
  <si>
    <t xml:space="preserve">158516</t>
  </si>
  <si>
    <t xml:space="preserve">INSTITUTO FEDERAL DE EDUC.CIENC.E TEC.DE SC</t>
  </si>
  <si>
    <t xml:space="preserve">FLORIANÓPOLIS</t>
  </si>
  <si>
    <t xml:space="preserve">SC</t>
  </si>
  <si>
    <t xml:space="preserve">INST.FED.DE EDUC.,CIENC.E TEC.DE STA.CATARINA</t>
  </si>
  <si>
    <t xml:space="preserve">Objeto: Pregão Eletrônico -  Aquisição de insumos alimentícios e utensílios de cozinha, exclusivo para o campus Araranguá do IFSC.</t>
  </si>
  <si>
    <t xml:space="preserve">15815405903232025</t>
  </si>
  <si>
    <t xml:space="preserve">37182538000174</t>
  </si>
  <si>
    <t xml:space="preserve">ANDRE BAPTISTA MARTINS PEREIRA 32994590824</t>
  </si>
  <si>
    <t xml:space="preserve">UNIÃO</t>
  </si>
  <si>
    <t xml:space="preserve">158154</t>
  </si>
  <si>
    <t xml:space="preserve">INST.FED.DE EDUC.,CIENC.E TEC.DE SÃO PAULO</t>
  </si>
  <si>
    <t xml:space="preserve">SÃO PAULO</t>
  </si>
  <si>
    <t xml:space="preserve">INST.FED.DE EDUC.,CIENC.E TEC. DE SÃO PAULO</t>
  </si>
  <si>
    <t xml:space="preserve">Objeto: Pregão Eletrônico -  Aquisição de alimentos para o IFSP campus Registro.</t>
  </si>
  <si>
    <t xml:space="preserve">92869905900072025</t>
  </si>
  <si>
    <t xml:space="preserve">52552041000194</t>
  </si>
  <si>
    <t xml:space="preserve">ALLIANCE GESTAO E NEGOCIOS LTDA</t>
  </si>
  <si>
    <t xml:space="preserve">CAFÉ MAIS PALADAR</t>
  </si>
  <si>
    <t xml:space="preserve">928699</t>
  </si>
  <si>
    <t xml:space="preserve">CAMARA MUNICIPAL DE ANAPOLIS - GO</t>
  </si>
  <si>
    <t xml:space="preserve">ANÁPOLIS</t>
  </si>
  <si>
    <t xml:space="preserve">CAMARA MUNICIPAL DE ANÁPOLIS - GO</t>
  </si>
  <si>
    <t xml:space="preserve">Objeto: Pregão Eletrônico -  Contratação de empresa especializada para o fornecimento parcelado de gêneros alimentícios, com a finalidade deatender a demanda da Câmara Municipal de Anápolis, durante o prazo de 12 (doze) meses</t>
  </si>
  <si>
    <t xml:space="preserve">92660605900262025</t>
  </si>
  <si>
    <t xml:space="preserve">40214103000179</t>
  </si>
  <si>
    <t xml:space="preserve">FABRICIO BARROS OLIVEIRA CEZAR</t>
  </si>
  <si>
    <t xml:space="preserve">MELITTA</t>
  </si>
  <si>
    <t xml:space="preserve">926606</t>
  </si>
  <si>
    <t xml:space="preserve">PREFEITURA MUNICIPAL DE CORIBE - BA</t>
  </si>
  <si>
    <t xml:space="preserve">CORIBE</t>
  </si>
  <si>
    <t xml:space="preserve">Objeto: Pregão Eletrônico -  Pregão EletrônicoPara Registro de Preços para futuras e eventuais aquisições de cestas básicas prontas, destinadas às pessoas carentes do Município de Coribe.</t>
  </si>
  <si>
    <t xml:space="preserve">40320106901152025</t>
  </si>
  <si>
    <t xml:space="preserve">OURO DO SAPÉ</t>
  </si>
  <si>
    <t xml:space="preserve">403201</t>
  </si>
  <si>
    <t xml:space="preserve">FUNDACAO NACIONAL DE ARTES</t>
  </si>
  <si>
    <t xml:space="preserve">Objeto: Aquisição de café torrado e moído do tipo único, açúcar do tipo refinado coloração branca, coador descartável de café e adoçante, para atender os espaços da Fundação Nacional de Artes - Funarte.</t>
  </si>
  <si>
    <t xml:space="preserve">98515506000332025</t>
  </si>
  <si>
    <t xml:space="preserve">33090429000176</t>
  </si>
  <si>
    <t xml:space="preserve">PANIFICADORA XAVIER &amp; FILHOS LTDA.</t>
  </si>
  <si>
    <t xml:space="preserve">fabricação própria</t>
  </si>
  <si>
    <t xml:space="preserve">985155</t>
  </si>
  <si>
    <t xml:space="preserve">PREFEITURA MUNICIPAL DE SANTA LUZIA - MG</t>
  </si>
  <si>
    <t xml:space="preserve">SANTA LUZIA</t>
  </si>
  <si>
    <t xml:space="preserve">Aquisição de lanche para atender treinamento e capacitação de vacinação (Chikungunya) da cidade de Santa Luzia/MG</t>
  </si>
  <si>
    <t xml:space="preserve">40320106000382025</t>
  </si>
  <si>
    <t xml:space="preserve">OURO DE SAPÉ</t>
  </si>
  <si>
    <t xml:space="preserve">A compra dos materiais relacionados se faz necessário e imprescindível para a continuidade do atendimento as demandas da Funarte, pois eles se encontram em baixa quantidade no estoque.</t>
  </si>
  <si>
    <t xml:space="preserve">53301306900062025</t>
  </si>
  <si>
    <t xml:space="preserve">57805759000169</t>
  </si>
  <si>
    <t xml:space="preserve">57.805.759 LTDA</t>
  </si>
  <si>
    <t xml:space="preserve">DIARIO</t>
  </si>
  <si>
    <t xml:space="preserve">533013</t>
  </si>
  <si>
    <t xml:space="preserve">SUPERINTEND. DO DESENVOLVIMENTO DA AMAZONIA</t>
  </si>
  <si>
    <t xml:space="preserve">BELÉM</t>
  </si>
  <si>
    <t xml:space="preserve">PA</t>
  </si>
  <si>
    <t xml:space="preserve">Objeto: Aquisição a de café torrado e moído dotipo único, conforme condições e exigências estabelecidas no termo de referência, conforme condições, quantidades e exigências estabelecidas.</t>
  </si>
  <si>
    <t xml:space="preserve">25302806900012025</t>
  </si>
  <si>
    <t xml:space="preserve">58939717000183</t>
  </si>
  <si>
    <t xml:space="preserve">C.A DISTRIBUIDORA LTDA</t>
  </si>
  <si>
    <t xml:space="preserve">GRÃO DO SOL</t>
  </si>
  <si>
    <t xml:space="preserve">253028</t>
  </si>
  <si>
    <t xml:space="preserve">COORD.DE VIG.DE PORTOS,AEROPORTOS E FRONT.SP</t>
  </si>
  <si>
    <t xml:space="preserve">AGENCIA NACIONAL DE VIGILANCIA SANITARIA</t>
  </si>
  <si>
    <t xml:space="preserve">Objeto: Café Apresentação:torrado e moído  Tipo: único  Torrefação: ponto de torra escura  Embalagem: À Vacuo  Unidade: 500 g  Qantidade: 100 pacotes</t>
  </si>
  <si>
    <t xml:space="preserve">38926006900112025</t>
  </si>
  <si>
    <t xml:space="preserve">60232775000114</t>
  </si>
  <si>
    <t xml:space="preserve">60.232.775 THAIS MARQUES FERREIRA</t>
  </si>
  <si>
    <t xml:space="preserve">conforme tr</t>
  </si>
  <si>
    <t xml:space="preserve">389260</t>
  </si>
  <si>
    <t xml:space="preserve">CONSELHO FEDERAL DE QUIMICA</t>
  </si>
  <si>
    <t xml:space="preserve">Objeto: Aquisição de produtos de copa e limpeza, para atender as necessidades do Conselho Federal de Química (CFQ).</t>
  </si>
  <si>
    <t xml:space="preserve">Excessivamente Elevado</t>
  </si>
  <si>
    <t xml:space="preserve">92805805900132025</t>
  </si>
  <si>
    <t xml:space="preserve">41569776000104</t>
  </si>
  <si>
    <t xml:space="preserve">JOSELICE DA HORA RAMOS MERCADINHO LTDA</t>
  </si>
  <si>
    <t xml:space="preserve">PRETINHO</t>
  </si>
  <si>
    <t xml:space="preserve">928058</t>
  </si>
  <si>
    <t xml:space="preserve">FUNDO MUN.DE ASSISTÊNCIA SOCIAL DE PAUDALHO</t>
  </si>
  <si>
    <t xml:space="preserve">PAUDALHO</t>
  </si>
  <si>
    <t xml:space="preserve">PE</t>
  </si>
  <si>
    <t xml:space="preserve">Objeto: Pregão Eletrônico -  Fornecimento De Gêneros Alimentícios, Visando Prover As Necessidades Do Centro De Referência Especializada De Assistência Social (Creas), Centro De ReferênciaDa Assistência Social (Cras), Serviço De Convivência E Fortalecimento De Vínculo (Scfv) E Do Fundo Municipal De Assistência Social De Paudalho-Pe (Fmas) E Demais Unidades Vinculadas Ao Fundo Municipal De Assistência Social.</t>
  </si>
  <si>
    <t xml:space="preserve">15667906900702025</t>
  </si>
  <si>
    <t xml:space="preserve">62474633000199</t>
  </si>
  <si>
    <t xml:space="preserve">3E SERVICOS INTEGRADOS LTDA</t>
  </si>
  <si>
    <t xml:space="preserve">EXPORT</t>
  </si>
  <si>
    <t xml:space="preserve">156679</t>
  </si>
  <si>
    <t xml:space="preserve">UNIVERSIDADE FEDERAL DE CATALAO</t>
  </si>
  <si>
    <t xml:space="preserve">CATALÃO</t>
  </si>
  <si>
    <t xml:space="preserve">Objeto: Aquisição de GÊNEROS DE ALIMENTAÇÃO.</t>
  </si>
  <si>
    <t xml:space="preserve">17034706900082025</t>
  </si>
  <si>
    <t xml:space="preserve">53028153000103</t>
  </si>
  <si>
    <t xml:space="preserve">HR9 COMERCIO E SERVICOS LTDA</t>
  </si>
  <si>
    <t xml:space="preserve">Café Puro</t>
  </si>
  <si>
    <t xml:space="preserve">Objeto: Contratação de empresa para o fornecimento de material de consumo, destinados a suprir as necessidades operacionais da Superintendência Regional do Trabalho e Emprego em Roraima (SRTE/RR), da Superintendência do Patrimônio da União em Roraima (SPU/RR) e da Controladoria-Geral da União em Roraima (CGU/RR.</t>
  </si>
  <si>
    <t xml:space="preserve">39301405902842025</t>
  </si>
  <si>
    <t xml:space="preserve">30433982000176</t>
  </si>
  <si>
    <t xml:space="preserve">MAYA COMERCIO DE ALIMENTOS LTDA</t>
  </si>
  <si>
    <t xml:space="preserve">BRASILEIRO</t>
  </si>
  <si>
    <t xml:space="preserve">393014</t>
  </si>
  <si>
    <t xml:space="preserve">SUPERINTENDÊNCIA REGIONAL DO DNIT - RO</t>
  </si>
  <si>
    <t xml:space="preserve">Objeto: Pregão Eletrônico -  Aquisição de Materiais de Consumo destinados ao reabastecimento contínuo do almoxarifado da Superintendência Regional do DNIT em Rondônia.</t>
  </si>
  <si>
    <t xml:space="preserve">15188905900132025</t>
  </si>
  <si>
    <t xml:space="preserve">35677306000161</t>
  </si>
  <si>
    <t xml:space="preserve">PATRICK MARQUES DA SILVA</t>
  </si>
  <si>
    <t xml:space="preserve">500g</t>
  </si>
  <si>
    <t xml:space="preserve">151889</t>
  </si>
  <si>
    <t xml:space="preserve">IF BAIANO - CAMPUS BOM JESUS DA LAPA</t>
  </si>
  <si>
    <t xml:space="preserve">BOM JESUS DA LAPA</t>
  </si>
  <si>
    <t xml:space="preserve">INST.FED.DE EDUC.,CIENC.E TEC.BAIANO</t>
  </si>
  <si>
    <t xml:space="preserve">Objeto: Pregão Eletrônico -  Aquisição de Genêros Alimentícios para o Instituto Federal Baiano - campus Bom Jesus da Lapa.</t>
  </si>
  <si>
    <t xml:space="preserve">25700305900212025</t>
  </si>
  <si>
    <t xml:space="preserve">257003</t>
  </si>
  <si>
    <t xml:space="preserve">INSTITUTO EVANDRO CHAGAS</t>
  </si>
  <si>
    <t xml:space="preserve">ANANINDEUA</t>
  </si>
  <si>
    <t xml:space="preserve">Objeto: Pregão Eletrônico -  Aquisição de cafétorrado e moído do tipo único, conforme condições, quantidades e exigências estabelecidas no Edital e seus anexos.</t>
  </si>
  <si>
    <t xml:space="preserve">92740106002902025</t>
  </si>
  <si>
    <t xml:space="preserve"> </t>
  </si>
  <si>
    <t xml:space="preserve">59283588000180</t>
  </si>
  <si>
    <t xml:space="preserve">59.283.588 DANIELE PEREIRA DE CARVALHO</t>
  </si>
  <si>
    <t xml:space="preserve">927401</t>
  </si>
  <si>
    <t xml:space="preserve">CASA CIVIL DO GOVERNO DO ESTADO DA PARAIBA</t>
  </si>
  <si>
    <t xml:space="preserve">JOÃO PESSOA</t>
  </si>
  <si>
    <t xml:space="preserve">PB</t>
  </si>
  <si>
    <t xml:space="preserve">Aquisição de Café Extra Forte</t>
  </si>
  <si>
    <t xml:space="preserve">92740106002832025</t>
  </si>
  <si>
    <t xml:space="preserve">39432332000180</t>
  </si>
  <si>
    <t xml:space="preserve">JAC COMERCIO DE PRODUTOS LTDA</t>
  </si>
  <si>
    <t xml:space="preserve">próprio</t>
  </si>
  <si>
    <t xml:space="preserve"> Gêneros alimentícios - Mercearia</t>
  </si>
  <si>
    <t xml:space="preserve">93099706900042025</t>
  </si>
  <si>
    <t xml:space="preserve">61.256.782 TAMER DE OLIVEIRA RAMOS</t>
  </si>
  <si>
    <t xml:space="preserve">sao braz</t>
  </si>
  <si>
    <t xml:space="preserve">930997</t>
  </si>
  <si>
    <t xml:space="preserve">EAL-JUNTA COMERCIAL DO ESTADO DE ALAGOAS</t>
  </si>
  <si>
    <t xml:space="preserve">Objeto: Aquisição de material de gênero alimentício para a JUCEAL.</t>
  </si>
  <si>
    <t xml:space="preserve">98766305900502025</t>
  </si>
  <si>
    <t xml:space="preserve">51369662000174</t>
  </si>
  <si>
    <t xml:space="preserve">J.E. ALIMENTOS LTDA</t>
  </si>
  <si>
    <t xml:space="preserve">odebrecht</t>
  </si>
  <si>
    <t xml:space="preserve">987663</t>
  </si>
  <si>
    <t xml:space="preserve">PREFEITURA MUNICIPAL DE LOANDA</t>
  </si>
  <si>
    <t xml:space="preserve">LOANDA</t>
  </si>
  <si>
    <t xml:space="preserve">Objeto: Pregão Eletrônico -  A presente licitação tem como objeto o Registro de Preços para contratação de empresa especializada para eventual aquisição de gêneros alimentícios, para atender as necessidades das Secretarias Municipais de Loanda.</t>
  </si>
  <si>
    <t xml:space="preserve">38939906000232025</t>
  </si>
  <si>
    <t xml:space="preserve">93209765054047</t>
  </si>
  <si>
    <t xml:space="preserve">WMS SUPERMERCADOS DO BRASIL LTDA.</t>
  </si>
  <si>
    <t xml:space="preserve">3 CORAÇÕES</t>
  </si>
  <si>
    <t xml:space="preserve">389399</t>
  </si>
  <si>
    <t xml:space="preserve">CONSELHO REGIONAL DE ADMINISTAÇÃO - MT</t>
  </si>
  <si>
    <t xml:space="preserve">CUIABÁ</t>
  </si>
  <si>
    <t xml:space="preserve">MT</t>
  </si>
  <si>
    <t xml:space="preserve">CONSELHO REGIONAL DE ADMINISTRAÇÃO-MT</t>
  </si>
  <si>
    <t xml:space="preserve"> Aquisição de material de higiene, copa e cozinha, para a Sede do Conselho Regional de Administração de Mato Grosso - CRA-MT.</t>
  </si>
  <si>
    <t xml:space="preserve">38920206900072025</t>
  </si>
  <si>
    <t xml:space="preserve">48873069000156</t>
  </si>
  <si>
    <t xml:space="preserve">D DE S SILVA  LTDA</t>
  </si>
  <si>
    <t xml:space="preserve">Kinimo</t>
  </si>
  <si>
    <t xml:space="preserve">389202</t>
  </si>
  <si>
    <t xml:space="preserve">CONSELHO REGIONAL DE MEDICINA VETERINARIA-MA</t>
  </si>
  <si>
    <t xml:space="preserve">Objeto: A presente licitação tem como objeto aaquisição de gêneros alimentícios para atendimento das necessidades do CRMV/MA pelo período de 12 meses. Em caso de discordância entre o código CATMAT e as especificações do Termo de Referencia, prevaleceram as ultimas.</t>
  </si>
  <si>
    <t xml:space="preserve">92991106900822025</t>
  </si>
  <si>
    <t xml:space="preserve">diversos</t>
  </si>
  <si>
    <t xml:space="preserve">Objeto: Aquisição de açúcar cristal, café torrado e moído e chá.</t>
  </si>
  <si>
    <t xml:space="preserve">45370006000032025</t>
  </si>
  <si>
    <t xml:space="preserve">53515319000116</t>
  </si>
  <si>
    <t xml:space="preserve">L C A DE OLIVEIRA</t>
  </si>
  <si>
    <t xml:space="preserve">Café </t>
  </si>
  <si>
    <t xml:space="preserve">453700</t>
  </si>
  <si>
    <t xml:space="preserve">EPI-SECRETARIA MEIO AMBIENTE E REC.HÍDRICOS</t>
  </si>
  <si>
    <t xml:space="preserve">TERESINA</t>
  </si>
  <si>
    <t xml:space="preserve">PI</t>
  </si>
  <si>
    <t xml:space="preserve">contratação de empresa especializada para fornecimento de café, açúcar e adoçante, para atender as necessidades da Secretaria de Estado do Meio Ambiente e Recursos Hídricos - SEMARH-PI</t>
  </si>
  <si>
    <t xml:space="preserve">93191306900022025</t>
  </si>
  <si>
    <t xml:space="preserve">23929719000107</t>
  </si>
  <si>
    <t xml:space="preserve">PROPAGA MULTIVENDAS E SERVICOS INTEGRADOS LTDA</t>
  </si>
  <si>
    <t xml:space="preserve">DV</t>
  </si>
  <si>
    <t xml:space="preserve">931913</t>
  </si>
  <si>
    <t xml:space="preserve">INSTITUTO DE PREVIDêNCIA DE PARAíBA DO SUL/RJ</t>
  </si>
  <si>
    <t xml:space="preserve">PARAÍBA DO SUL</t>
  </si>
  <si>
    <t xml:space="preserve">Objeto: O objeto do presente procedimento é a escolha da proposta mais vantajosa para a aquisição, por dispensa de licitação, de materiais de uso diário   CAFÈ, AÇÚCAR, COPO E TOALHA DE PAPEL.</t>
  </si>
  <si>
    <t xml:space="preserve">98591905900582025</t>
  </si>
  <si>
    <t xml:space="preserve">56891163000166</t>
  </si>
  <si>
    <t xml:space="preserve">BRASILUZ CONEXAO INTERLAGOS LTDA</t>
  </si>
  <si>
    <t xml:space="preserve">pele</t>
  </si>
  <si>
    <t xml:space="preserve">Objeto: Pregão Eletrônico -  Aquisição de gêneros alimentícios, por meio de registro de preços, para atendimento das crianças e adolescentesno Abrigo Municipal, idosos no Asilo Muicipal e equipamentos diversos da SMASDHDC.</t>
  </si>
  <si>
    <t xml:space="preserve">14671516000172</t>
  </si>
  <si>
    <t xml:space="preserve">ATENDO DISTRIBUIDORA, ATACADISTA E SERVICOS SOCIEDADE UNIPESSOAL LTDA</t>
  </si>
  <si>
    <t xml:space="preserve">OURO VELHO</t>
  </si>
  <si>
    <t xml:space="preserve">92643806900182025</t>
  </si>
  <si>
    <t xml:space="preserve">Objeto: A aquisição de café torrado e moído tipo de torra média ou escura, tradicional, contendo intensidade igual ou  superior a 7,5 e limitada a 10, com selo ABIC de qualidade ou equivalente. Empacotado à vácuo contendo 500gr.</t>
  </si>
  <si>
    <t xml:space="preserve">92682906900422025</t>
  </si>
  <si>
    <t xml:space="preserve">AROMA DE OURO</t>
  </si>
  <si>
    <t xml:space="preserve">Objeto: Aquisição de café e adoçante, conformecondições e exigências estabelecidas no Termo de Referência.</t>
  </si>
  <si>
    <t xml:space="preserve">92740106002382025</t>
  </si>
  <si>
    <t xml:space="preserve">42230709000123</t>
  </si>
  <si>
    <t xml:space="preserve">42.230.709 IHSMENIA MAYRLLA LIMA ROCHA PEREIRA</t>
  </si>
  <si>
    <t xml:space="preserve">CAFÉ EXTRA FORTE TORRADO E MOÍDO 250G</t>
  </si>
  <si>
    <t xml:space="preserve">92757706900092025</t>
  </si>
  <si>
    <t xml:space="preserve">CAFÉ SILVA</t>
  </si>
  <si>
    <t xml:space="preserve">927577</t>
  </si>
  <si>
    <t xml:space="preserve">CONSELHO REGIONAL DE CONTABILIDADE - MT</t>
  </si>
  <si>
    <t xml:space="preserve">CONSELHO REGIONAL DE CONTABILIDADE-MT</t>
  </si>
  <si>
    <t xml:space="preserve">Objeto: Contratação de empresa especializada para o fornecimento de gêneros alimentícios e insumos, para atender às demandas do Conselho Regional de Contabilidade de Mato Grosso.</t>
  </si>
  <si>
    <t xml:space="preserve">16001405900012025</t>
  </si>
  <si>
    <t xml:space="preserve">15651058000172</t>
  </si>
  <si>
    <t xml:space="preserve">C2 - CBLF CONSULTORIA BRASIL DE LICITACOES LTDA</t>
  </si>
  <si>
    <t xml:space="preserve">KG / EM PCTS DE 250</t>
  </si>
  <si>
    <t xml:space="preserve">160014</t>
  </si>
  <si>
    <t xml:space="preserve">COMANDO 12 REGIAO MILITAR/MEX/AM</t>
  </si>
  <si>
    <t xml:space="preserve">COMANDO DO EXERCITO</t>
  </si>
  <si>
    <t xml:space="preserve">Objeto: Pregão Eletrônico -  Aquisição de gêneros alimentícios de Quantitativo de Subsistência (QS).</t>
  </si>
  <si>
    <t xml:space="preserve">KG EM PCTS DE 500 G</t>
  </si>
  <si>
    <t xml:space="preserve">98422305900772025</t>
  </si>
  <si>
    <t xml:space="preserve">11397906000108</t>
  </si>
  <si>
    <t xml:space="preserve">PEG LEV SUPERMERCADO LTDA</t>
  </si>
  <si>
    <t xml:space="preserve">c</t>
  </si>
  <si>
    <t xml:space="preserve">984223</t>
  </si>
  <si>
    <t xml:space="preserve">PREFEITURA MUNICIPAL DE CAMPO BELO-MG</t>
  </si>
  <si>
    <t xml:space="preserve">CAMPO BELO</t>
  </si>
  <si>
    <t xml:space="preserve">Objeto: Pregão Eletrônico -  Registro de preços para futura e eventual aquisição de café paraatender a demanda da Unidade de Pronto Atendimento - UPA 24h, setor da Secretaria Municipal de Saúde.</t>
  </si>
  <si>
    <t xml:space="preserve">34303206000252025</t>
  </si>
  <si>
    <t xml:space="preserve">39503312000153</t>
  </si>
  <si>
    <t xml:space="preserve">NEXUS COMERCIO E SERVICOS LTDA</t>
  </si>
  <si>
    <t xml:space="preserve">A DEFINIR</t>
  </si>
  <si>
    <t xml:space="preserve">343032</t>
  </si>
  <si>
    <t xml:space="preserve">SUPERINTENDÊNCIA DO IPHAN NA PARAÍBA</t>
  </si>
  <si>
    <t xml:space="preserve">INSTITUTO DO PATRIMONIO HIST. E ART. NACIONAL</t>
  </si>
  <si>
    <t xml:space="preserve">Aquisição de café torrado e moído do tipo único e açúcar do tipo cristal coloração branca e chá, para atender as necessidades da Superintendência do IPHAN na Paraíba.</t>
  </si>
  <si>
    <t xml:space="preserve">13002806900022025</t>
  </si>
  <si>
    <t xml:space="preserve">Made in Brazil</t>
  </si>
  <si>
    <t xml:space="preserve">130028</t>
  </si>
  <si>
    <t xml:space="preserve">SUPERINT.FEDERAL DE AGRIC.PECUARIA E ABASTEC.</t>
  </si>
  <si>
    <t xml:space="preserve">ARACAJU</t>
  </si>
  <si>
    <t xml:space="preserve">SE</t>
  </si>
  <si>
    <t xml:space="preserve">MINISTERIO DA AGRICULTURA E PECUARIA - MAPA</t>
  </si>
  <si>
    <t xml:space="preserve">Objeto: Aquisição de café torrado e moído do tipo único, açúcar do tipo cristal coloração branca E copo descartável, nos termos da tabela abaixo, conforme condições e exigências estabelecidas neste instrumento.</t>
  </si>
  <si>
    <t xml:space="preserve">25704205900102025</t>
  </si>
  <si>
    <t xml:space="preserve">58404672000142</t>
  </si>
  <si>
    <t xml:space="preserve">SISTEMA DE TECNOLOGIA PROFISSIONAL LTDA</t>
  </si>
  <si>
    <t xml:space="preserve">MARATÁ</t>
  </si>
  <si>
    <t xml:space="preserve">257042</t>
  </si>
  <si>
    <t xml:space="preserve">DISTRITO SANIT. ESP.INDIGENA - ALTAMIRA</t>
  </si>
  <si>
    <t xml:space="preserve">ALTAMIRA</t>
  </si>
  <si>
    <t xml:space="preserve">Objeto: Pregão Eletrônico -  Registro de preços para aquisição de café torrado e moído do tipo único e açúcar do tipo cristal coloração branca</t>
  </si>
  <si>
    <t xml:space="preserve">99020205900092025</t>
  </si>
  <si>
    <t xml:space="preserve">36488860000163</t>
  </si>
  <si>
    <t xml:space="preserve">ANEFRAN COMERCIO E SERVICOS LTDA</t>
  </si>
  <si>
    <t xml:space="preserve">CAFÉ SUPERIOR A VACU</t>
  </si>
  <si>
    <t xml:space="preserve">990202</t>
  </si>
  <si>
    <t xml:space="preserve">ESP-FUNDAÇÃO C.A.S.A. - SEDE ADMINISTRAÇÃO</t>
  </si>
  <si>
    <t xml:space="preserve">ESP-FUNDAÇÃO CASA - SP</t>
  </si>
  <si>
    <t xml:space="preserve">Objeto: Pregão Eletrônico -  Registro de preços para contratações futuras de gêneros alimentícios</t>
  </si>
  <si>
    <t xml:space="preserve">99020205900692025</t>
  </si>
  <si>
    <t xml:space="preserve">59138940000194</t>
  </si>
  <si>
    <t xml:space="preserve">59.138.940 ALEX ROGERIO NOGUEIRA</t>
  </si>
  <si>
    <t xml:space="preserve">camil</t>
  </si>
  <si>
    <t xml:space="preserve">Objeto: Pregão Eletrônico -  Aquisição de gêneros alimentícios (açúcar e café)</t>
  </si>
  <si>
    <t xml:space="preserve">12003905900012025</t>
  </si>
  <si>
    <t xml:space="preserve">48817203000100</t>
  </si>
  <si>
    <t xml:space="preserve">ONE BOSS DISTRIBUIDORA DE ALIMENTOS LTDA</t>
  </si>
  <si>
    <t xml:space="preserve">Objeto: Pregão Eletrônico -  Aquisic a o de generos alimenti cios para o GAP-RJ</t>
  </si>
  <si>
    <t xml:space="preserve">16046206900132025</t>
  </si>
  <si>
    <t xml:space="preserve">NESCAFÉ</t>
  </si>
  <si>
    <t xml:space="preserve">160462</t>
  </si>
  <si>
    <t xml:space="preserve">COMANDO 12 BRIGADA INFANTARIA L(AMV)</t>
  </si>
  <si>
    <t xml:space="preserve">CAÇAPAVA</t>
  </si>
  <si>
    <t xml:space="preserve">Objeto: Aquisição de café soluvel</t>
  </si>
  <si>
    <t xml:space="preserve">15311505900062025</t>
  </si>
  <si>
    <t xml:space="preserve">05656062000170</t>
  </si>
  <si>
    <t xml:space="preserve">MULTICOM COMERCIO MULTIPLO DE ALIMENTOS LTDA</t>
  </si>
  <si>
    <t xml:space="preserve">Tipo Tradicional, a</t>
  </si>
  <si>
    <t xml:space="preserve">153115</t>
  </si>
  <si>
    <t xml:space="preserve">MEC-UFRJ-UNIVERSID.FED.DO RIO DE JANEIRO/RJ</t>
  </si>
  <si>
    <t xml:space="preserve">UNIVERSIDADE FEDERAL DO RIO DE JANEIRO</t>
  </si>
  <si>
    <t xml:space="preserve">Objeto: Pregão Eletrônico -  Registro de preços para aquisição de café torrado e moído do tipo único e açúcar do tipo cristal coloração branca, nos termos da tabela no item 1.1, conforme condições e exigências estabelecidas no Termo de Referência.</t>
  </si>
  <si>
    <t xml:space="preserve">49540006900062025</t>
  </si>
  <si>
    <t xml:space="preserve">50335791000189</t>
  </si>
  <si>
    <t xml:space="preserve">50.335.791 ROBSON ALVES DOS SANTOS</t>
  </si>
  <si>
    <t xml:space="preserve">ATIBAIENSE</t>
  </si>
  <si>
    <t xml:space="preserve">495400</t>
  </si>
  <si>
    <t xml:space="preserve">COMPANHIA DE PESQUISA DE RECURSOS MINERAIS</t>
  </si>
  <si>
    <t xml:space="preserve">Objeto: Aquisições de produtos de copa - café,açúcar e adoçante, sob demanda, isto é, com entrega parcelada, para atender às necessidades do Serviço Geológico do Brasil da Superintendência Regional de Salvador, conforme as especificações constantes no Projeto Básico.</t>
  </si>
  <si>
    <t xml:space="preserve">92837205900032025</t>
  </si>
  <si>
    <t xml:space="preserve">19634357000150</t>
  </si>
  <si>
    <t xml:space="preserve">INOVACAO LTDA</t>
  </si>
  <si>
    <t xml:space="preserve">comcafe</t>
  </si>
  <si>
    <t xml:space="preserve">928372</t>
  </si>
  <si>
    <t xml:space="preserve">ERO-CONSORCIO INTERM.DE SANEAM.DA REG.CENTRAL</t>
  </si>
  <si>
    <t xml:space="preserve">ARIQUEMES</t>
  </si>
  <si>
    <t xml:space="preserve">Objeto: Pregão Eletrônico -  Registro de Preços para futura e eventual aquisição de gêneros alimentícios não perecíveis, para atender as demandas do Consórcio Intermunicipal de Saneamentoda Região Central de Rondônia (CISAN Central/RO) por 12 (doze) meses.</t>
  </si>
  <si>
    <t xml:space="preserve">11360106900352025</t>
  </si>
  <si>
    <t xml:space="preserve">40770822000176</t>
  </si>
  <si>
    <t xml:space="preserve">JADY IMPORTACAO E EXPORTACAO DE PRODUTOS HOSPITALARES LTDA</t>
  </si>
  <si>
    <t xml:space="preserve">113601</t>
  </si>
  <si>
    <t xml:space="preserve">IPEA-INSTIT.DE PESQUISA ECONOMICA APLICADA/DF</t>
  </si>
  <si>
    <t xml:space="preserve">INSTITUTO DE PESQUISA ECONOMICA APLICADA</t>
  </si>
  <si>
    <t xml:space="preserve">Objeto: Aquisição de café torrado e moído do tipo único</t>
  </si>
  <si>
    <t xml:space="preserve">11631608000130</t>
  </si>
  <si>
    <t xml:space="preserve">SOBERANA DISTRIBUIDORA LTDA</t>
  </si>
  <si>
    <t xml:space="preserve">78560005900082024</t>
  </si>
  <si>
    <t xml:space="preserve">12822871000170</t>
  </si>
  <si>
    <t xml:space="preserve">CAVERA HORTIFRUTIGRANJEIRO LTDA</t>
  </si>
  <si>
    <t xml:space="preserve">CABOCLO</t>
  </si>
  <si>
    <t xml:space="preserve">785600</t>
  </si>
  <si>
    <t xml:space="preserve">ESCOLA DE APRENDIZES-MARINHEIROS DE SC</t>
  </si>
  <si>
    <t xml:space="preserve">Objeto: Pregão Eletrônico -  Registro de preços para eventual aquisição de gêneros alimentícios, em geral, para a Escola de Aprendizes-Marinheiros de Santa Catarina (EAMSC).</t>
  </si>
  <si>
    <t xml:space="preserve">10230306900152025</t>
  </si>
  <si>
    <t xml:space="preserve">35991410000126</t>
  </si>
  <si>
    <t xml:space="preserve">ALPICK COMERCIO DE ALIMENTOS E SERVICOS LTDA</t>
  </si>
  <si>
    <t xml:space="preserve">Fort/ 3 Corações</t>
  </si>
  <si>
    <t xml:space="preserve">102303</t>
  </si>
  <si>
    <t xml:space="preserve">ESP-UNESP-FACUL.CIENC.FARMACEUT.-C.ARARAQUARA</t>
  </si>
  <si>
    <t xml:space="preserve">ARARAQUARA</t>
  </si>
  <si>
    <t xml:space="preserve">ESP-UNIV EST PAUL.JULIO MESQ.FILHO-UNESP</t>
  </si>
  <si>
    <t xml:space="preserve">Objeto: Aquisição de insumos para copa e cozinha</t>
  </si>
  <si>
    <t xml:space="preserve">73210005900092024</t>
  </si>
  <si>
    <t xml:space="preserve">09211999000192</t>
  </si>
  <si>
    <t xml:space="preserve">VISIONARIA COMERCIO E SERVICOS EM GERAL LTDA</t>
  </si>
  <si>
    <t xml:space="preserve">TORRADO 500g</t>
  </si>
  <si>
    <t xml:space="preserve">732100</t>
  </si>
  <si>
    <t xml:space="preserve">CENTRO DE INST ALMIRANTE SYLVIO DE CAMARGO</t>
  </si>
  <si>
    <t xml:space="preserve">Objeto: Pregão Eletrônico -  Eventual aquisição de gêneros alimentícios.</t>
  </si>
  <si>
    <t xml:space="preserve">98397305900162024</t>
  </si>
  <si>
    <t xml:space="preserve">09208153000101</t>
  </si>
  <si>
    <t xml:space="preserve">FAUSTINIANO JONAS CARDOSO LOPES</t>
  </si>
  <si>
    <t xml:space="preserve">PURO</t>
  </si>
  <si>
    <t xml:space="preserve">983973</t>
  </si>
  <si>
    <t xml:space="preserve">PREFEITURA MUNICIPAL DE LAPÃO - BA</t>
  </si>
  <si>
    <t xml:space="preserve">LAPÃO</t>
  </si>
  <si>
    <t xml:space="preserve">Objeto: Pregão Eletrônico -  Futura e eventualaquisição de gêneros alimentícios e hortifrutigranjeiros para atender a demanda deste município.</t>
  </si>
  <si>
    <t xml:space="preserve">38350506900022025</t>
  </si>
  <si>
    <t xml:space="preserve">05205399000160</t>
  </si>
  <si>
    <t xml:space="preserve">CDV COMERCIAL DE ALIMENTOS LTDA</t>
  </si>
  <si>
    <t xml:space="preserve">SERRA DA MATINHA</t>
  </si>
  <si>
    <t xml:space="preserve">383505</t>
  </si>
  <si>
    <t xml:space="preserve">CONSELHO REGIONAL DE CONTABILIDADE-DF</t>
  </si>
  <si>
    <t xml:space="preserve">CONSELHO REGIONAL DE CONTABILIDADE/DF</t>
  </si>
  <si>
    <t xml:space="preserve">Objeto: Esta Dispensa tem como objeto a aquisição planejada de insumos alimentares essenciaispara garantir o fornecimento adequado de produtos estratégicos às atividades institucionais do CRCDF. A contratação visa aprimorar a gestão de suprimentos, estruturando a compra de café torrado e moído, açúcar tipo cristal e adoçante dietético, assegurando qualidade, regularidade e eficiência na distribuição desses itens indispensáveis.</t>
  </si>
  <si>
    <t xml:space="preserve">92991106900622025</t>
  </si>
  <si>
    <t xml:space="preserve">Objeto: Café torrado e moído, moagem média e  uniforme, ponto de torração: escura, sem glúten e sem gordura saturada. Referência de melhorqualidade. Embalagem: pacote com 500  gramas. Validade 6 meses. Embalagem com  dupla proteção, uma com alto vácuo em saco de  filme plásticoou aluminizado internamente  lacrado, acondicionado em caixa de papel  cartão contendo, no mínimo asseguintes  informações impressas diretamente na  embalagem: data de fabricação, validade do  pro</t>
  </si>
  <si>
    <t xml:space="preserve">99019805900052025</t>
  </si>
  <si>
    <t xml:space="preserve">50316398000148</t>
  </si>
  <si>
    <t xml:space="preserve">MT ATACADISTA &amp; DISTRIBUIDORA LTDA</t>
  </si>
  <si>
    <t xml:space="preserve">Monte Sul</t>
  </si>
  <si>
    <t xml:space="preserve">990198</t>
  </si>
  <si>
    <t xml:space="preserve">ESP-FUNDAÇÃO C.A.S.A. - DR V. PARAÍBA</t>
  </si>
  <si>
    <t xml:space="preserve">SÃO JOSÉ DOS CAMPOS</t>
  </si>
  <si>
    <t xml:space="preserve">Objeto: Pregão Eletrônico -  Aquisição de cafée açúcar</t>
  </si>
  <si>
    <t xml:space="preserve">15815306900182025</t>
  </si>
  <si>
    <t xml:space="preserve">40432926000170</t>
  </si>
  <si>
    <t xml:space="preserve">S. T. CAFES COMERCIO E DISTRIBUICAO LTDA</t>
  </si>
  <si>
    <t xml:space="preserve">Café Capelle Superio</t>
  </si>
  <si>
    <t xml:space="preserve">158153</t>
  </si>
  <si>
    <t xml:space="preserve">INST.FED.DE EDUC.,CIENC.E TEC.DE GOIÁS</t>
  </si>
  <si>
    <t xml:space="preserve">Objeto: Aquisição de café torrado e moído paraatender as demandas dos Câmpus Aparecida de Goiânia, Águas Lindas, Inhumas, Luziânia, Uruaçu e Valparaíso de Goiás do Instituto Federal de Educação, Ciência e Tecnologia de Goiás.</t>
  </si>
  <si>
    <t xml:space="preserve">10230306000132025</t>
  </si>
  <si>
    <t xml:space="preserve">59126048000193</t>
  </si>
  <si>
    <t xml:space="preserve">59.126.048 SILVIA ERGANG MATOS</t>
  </si>
  <si>
    <t xml:space="preserve">Café</t>
  </si>
  <si>
    <t xml:space="preserve">AQUISIÇÃO DE MATERIAIS PARA A COPA</t>
  </si>
  <si>
    <t xml:space="preserve">10230306900122025</t>
  </si>
  <si>
    <t xml:space="preserve">Café Apresentação: T</t>
  </si>
  <si>
    <t xml:space="preserve">10010206900022025</t>
  </si>
  <si>
    <t xml:space="preserve">Ouro do sape</t>
  </si>
  <si>
    <t xml:space="preserve">100102</t>
  </si>
  <si>
    <t xml:space="preserve">ESP-DEPTO. DE ADMINISTRACAO E FINANCAS</t>
  </si>
  <si>
    <t xml:space="preserve">ESP-SECRETARIA DE DESENVOLVIMENTO ECONOMICO</t>
  </si>
  <si>
    <t xml:space="preserve">Objeto: Aquisição de materiais de consumo, consistentes em itens de copa e cozinha de uso recorrente da Secretaria de Desenvolvimento Econômico.</t>
  </si>
  <si>
    <t xml:space="preserve">93120406000122025</t>
  </si>
  <si>
    <t xml:space="preserve">48189059000104</t>
  </si>
  <si>
    <t xml:space="preserve">PONTOES SABORES DO CAMPO LTDA</t>
  </si>
  <si>
    <t xml:space="preserve">CAFÉ PONTÕES</t>
  </si>
  <si>
    <t xml:space="preserve">931204</t>
  </si>
  <si>
    <t xml:space="preserve">CES-SECRETARIA DA CASA MILITAR</t>
  </si>
  <si>
    <t xml:space="preserve">VITÓRIA</t>
  </si>
  <si>
    <t xml:space="preserve">ES</t>
  </si>
  <si>
    <t xml:space="preserve">Café Torrado em Pó</t>
  </si>
  <si>
    <t xml:space="preserve">12001305900262024</t>
  </si>
  <si>
    <t xml:space="preserve">28742388000115</t>
  </si>
  <si>
    <t xml:space="preserve">SOLUCCI DISTRIBUIDORA &amp; SERVICOS LTDA</t>
  </si>
  <si>
    <t xml:space="preserve">SÃO BRAZ</t>
  </si>
  <si>
    <t xml:space="preserve">120013</t>
  </si>
  <si>
    <t xml:space="preserve">MAER-GR.IMP.CENT.DE LANCAM.DE ALCANTARA/MA</t>
  </si>
  <si>
    <t xml:space="preserve">ALCÂNTARA</t>
  </si>
  <si>
    <t xml:space="preserve">Objeto: Pregão Eletrônico -  Aquisição de Gênero Alimentício na classificação de Gêneros Gerais, para Seção de Subsistência do Centro de Lançamento de Alcântara</t>
  </si>
  <si>
    <t xml:space="preserve">98027305900092025</t>
  </si>
  <si>
    <t xml:space="preserve">34582809000190</t>
  </si>
  <si>
    <t xml:space="preserve">GARCIA E LEAO COMERCIO DE PRODUTOS ALIMENTICIOS LTDA</t>
  </si>
  <si>
    <t xml:space="preserve">980273</t>
  </si>
  <si>
    <t xml:space="preserve">PREFEITURA MUNICIPAL DE STO ANTONIO DO ICA-AM</t>
  </si>
  <si>
    <t xml:space="preserve">SANTO ANTÔNIO DO IÇÁ</t>
  </si>
  <si>
    <t xml:space="preserve">Objeto: Pregão Eletrônico -  Lote 01 - Aquisição de Gêneros Alimentícios para atender a merenda escolar de todas as escolas Municipais, Lote02 - Aquisição de Gêneros Alimentícios destinado a atender outras secretarias e setores da Prefeitura e Lote 03 - Aquisição de Gêneros Alimentícios de frios e congelados para atender demais secretarias e setores da Prefeitura do Município de Santo Antônio do Içá.</t>
  </si>
  <si>
    <t xml:space="preserve">06539427000149</t>
  </si>
  <si>
    <t xml:space="preserve">M. TEREZA ALEXANDRE VITORINO</t>
  </si>
  <si>
    <t xml:space="preserve">marata</t>
  </si>
  <si>
    <t xml:space="preserve">25442306001982025</t>
  </si>
  <si>
    <t xml:space="preserve">59040128000121</t>
  </si>
  <si>
    <t xml:space="preserve">59.040.128 MERIAM HELENA PEREIRA DIAS</t>
  </si>
  <si>
    <t xml:space="preserve">Fino Grão</t>
  </si>
  <si>
    <t xml:space="preserve">254423</t>
  </si>
  <si>
    <t xml:space="preserve">INSTITUTO RENÉ RACHOU</t>
  </si>
  <si>
    <t xml:space="preserve">98121905900062025</t>
  </si>
  <si>
    <t xml:space="preserve">31058074000102</t>
  </si>
  <si>
    <t xml:space="preserve">J P &amp; TOPMED COMERCIAL LTDA</t>
  </si>
  <si>
    <t xml:space="preserve">981219</t>
  </si>
  <si>
    <t xml:space="preserve">PMPI - PREFEITURA MUNICIPAL DE TERESINA</t>
  </si>
  <si>
    <t xml:space="preserve">Objeto: Pregão Eletrônico -  REGISTRO DE PREÇOS para o período de 1 (um) ano, podendo ser prorrogado por igual período, desde que comprovadoo preço vantajoso, para futura e eventual aquisição de Açúcar, Café e Copo descartável, conforme condições, quantidades e exigências estabelecidas no Edital e seus anexos.</t>
  </si>
  <si>
    <t xml:space="preserve">8002106900052025</t>
  </si>
  <si>
    <t xml:space="preserve">27245852000103</t>
  </si>
  <si>
    <t xml:space="preserve">SUL BRASIL ATACADISTA LIMITADA</t>
  </si>
  <si>
    <t xml:space="preserve">Odebrecht</t>
  </si>
  <si>
    <t xml:space="preserve">080021</t>
  </si>
  <si>
    <t xml:space="preserve">TRIBUNAL REGIONAL DO TRABALHO DA 21A. REGIAO</t>
  </si>
  <si>
    <t xml:space="preserve">Objeto: Aquisição de café e açúcar (café torrado e moído do tipo único e açúcar do tipo cristal coloração branca), para atender a demanda deconsumo do Tribunal Regional do Trabalho da 21ª Região.</t>
  </si>
  <si>
    <t xml:space="preserve">20035606900012025</t>
  </si>
  <si>
    <t xml:space="preserve">200356</t>
  </si>
  <si>
    <t xml:space="preserve">SUPERINTENDENCIA REG.DEP.POLICIA FEDERAL - RJ</t>
  </si>
  <si>
    <t xml:space="preserve">Objeto: Aquisição de café moído torrado</t>
  </si>
  <si>
    <t xml:space="preserve">92856106900012025</t>
  </si>
  <si>
    <t xml:space="preserve">57826207000137</t>
  </si>
  <si>
    <t xml:space="preserve">57.826.207 FELIPE MANHAES MACIEL</t>
  </si>
  <si>
    <t xml:space="preserve">conform tr</t>
  </si>
  <si>
    <t xml:space="preserve">Objeto: Aquisição dos Materiais de Copa e Cozinha</t>
  </si>
  <si>
    <t xml:space="preserve">92962005900052024</t>
  </si>
  <si>
    <t xml:space="preserve">29324164000156</t>
  </si>
  <si>
    <t xml:space="preserve">M A DE P SILVA  LTDA</t>
  </si>
  <si>
    <t xml:space="preserve">KIJOIA</t>
  </si>
  <si>
    <t xml:space="preserve">929620</t>
  </si>
  <si>
    <t xml:space="preserve">ASSOCIAÇÃO A.E.E.FREI SAVINO DE ARAGUATINS/TO</t>
  </si>
  <si>
    <t xml:space="preserve">ARAGUATINS</t>
  </si>
  <si>
    <t xml:space="preserve">TO</t>
  </si>
  <si>
    <t xml:space="preserve">ASSOCIAÇÃO A.E.E.FREI SAVINO DE ARAGUATINS</t>
  </si>
  <si>
    <t xml:space="preserve">Objeto: Pregão Eletrônico -  Aquisição de Gêneros Alimentícios para com recursos do Programa PNAE/2025.</t>
  </si>
  <si>
    <t xml:space="preserve">92799605903242024</t>
  </si>
  <si>
    <t xml:space="preserve">17468184000111</t>
  </si>
  <si>
    <t xml:space="preserve">T. LEITE SILVA</t>
  </si>
  <si>
    <t xml:space="preserve">Unidade</t>
  </si>
  <si>
    <t xml:space="preserve">Objeto: Pregão Eletrônico -  Aquisição de Gêneros Alimentícios, para atender as necessidades do Hospital da Família de Porto Walter, no âmbito da Secretaria de Estado de Saúde   SESACRE.</t>
  </si>
  <si>
    <t xml:space="preserve">98585906900052025</t>
  </si>
  <si>
    <t xml:space="preserve">14099411000190</t>
  </si>
  <si>
    <t xml:space="preserve">LJ REPRESENTACOES E SERVICOS LTDA</t>
  </si>
  <si>
    <t xml:space="preserve">GAROTO</t>
  </si>
  <si>
    <t xml:space="preserve">985859</t>
  </si>
  <si>
    <t xml:space="preserve">PREFEITURA MUNICIPAL DE MIRACEMA - RJ</t>
  </si>
  <si>
    <t xml:space="preserve">MIRACEMA</t>
  </si>
  <si>
    <t xml:space="preserve">Objeto: AQUISIÇÃO DE GÊNEROS ALIMENTÍCIOS PARAO CAPS (Centro de Atenção Psicossocial LydianeMoreira Barros).</t>
  </si>
  <si>
    <t xml:space="preserve">link</t>
  </si>
  <si>
    <t xml:space="preserve">CATMAT</t>
  </si>
  <si>
    <t xml:space="preserve">Preço Unitário</t>
  </si>
  <si>
    <t xml:space="preserve">Data/Hora</t>
  </si>
  <si>
    <t xml:space="preserve">Responsável pela Pesquisa:</t>
  </si>
  <si>
    <t xml:space="preserve">Pedro</t>
  </si>
  <si>
    <t xml:space="preserve">Data e Hora da Pesquisa:</t>
  </si>
  <si>
    <t xml:space="preserve">2026-03-27 22:27</t>
  </si>
  <si>
    <t xml:space="preserve">Resumo da Pesquisa</t>
  </si>
  <si>
    <t xml:space="preserve">Unidade de Fornecimento</t>
  </si>
  <si>
    <t xml:space="preserve">Descrição</t>
  </si>
  <si>
    <t xml:space="preserve">Classe</t>
  </si>
  <si>
    <t xml:space="preserve">Itens Amostra Original</t>
  </si>
  <si>
    <t xml:space="preserve">Itens Excluídos</t>
  </si>
  <si>
    <t xml:space="preserve">Itens Incluídos</t>
  </si>
  <si>
    <t xml:space="preserve">Média</t>
  </si>
  <si>
    <t xml:space="preserve">=AVERAGE(IF(dados[Status]=&amp;quot;Incluído&amp;quot;, dados[precoUnitario], &amp;quot;&amp;quot;), dadosIII[Preço Unitário])</t>
  </si>
  <si>
    <t xml:space="preserve">Mediana</t>
  </si>
  <si>
    <t xml:space="preserve">=MEDIAN(IF(dados[Status]=&amp;quot;Incluído&amp;quot;, dados[precoUnitario],), dadosIII[Preço Unitário])</t>
  </si>
  <si>
    <t xml:space="preserve">Desvio Padrão</t>
  </si>
  <si>
    <t xml:space="preserve">=IFERROR(STDEV(IF(dados[Status]=&amp;quot;Incluído&amp;quot;, dados[precoUnitario],&amp;quot;&amp;quot;), dadosIII[Preço Unitário]), &amp;quot;&amp;quot;)</t>
  </si>
  <si>
    <t xml:space="preserve">Coeficiente de Variação (%)</t>
  </si>
  <si>
    <t xml:space="preserve">Preço de Referência Estimado</t>
  </si>
  <si>
    <t xml:space="preserve">Preço Final (+34,7%)</t>
  </si>
  <si>
    <t xml:space="preserve">Critério Utilizado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</si>
</sst>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0%"/>
    <numFmt numFmtId="167" formatCode="0.00"/>
    <numFmt numFmtId="168" formatCode="&quot;R$&quot; #,##0.00"/>
  </numFmts>
  <fonts count="3">
    <font>
      <sz val="11"/>
      <color rgb="FF000000"/>
      <name val="Calibri"/>
      <family val="2"/>
      <scheme val="minor"/>
    </font>
    <font>
      <sz val="11"/>
      <color rgb="FF000000"/>
      <name val="Calibri"/>
    </font>
    <font>
      <sz val="11"/>
      <color rgb="FF000000"/>
      <name val="Calibri"/>
      <b/>
    </font>
  </fonts>
  <fills count="3">
    <fill>
      <patternFill patternType="none"/>
    </fill>
    <fill>
      <patternFill patternType="gray125"/>
    </fill>
    <fill>
      <patternFill patternType="solid">
        <fgColor rgb="FFDDDDDD"/>
      </patternFill>
    </fill>
  </fills>
  <borders count="2">
    <border>
      <left/>
      <right/>
      <top/>
      <bottom/>
      <diagonal/>
    </border>
    <border>
      <top style="thin">
        <color rgb="FF000000"/>
      </top>
    </border>
  </borders>
  <cellStyleXfs count="1">
    <xf numFmtId="0" fontId="0" fillId="0" borderId="0"/>
  </cellStyleXfs>
  <cellXfs count="7">
    <xf numFmtId="0" fontId="0" fillId="0" borderId="0" xfId="0"/>
    <xf numFmtId="14" fontId="1" fillId="0" borderId="0" xfId="0" applyFont="1" applyNumberFormat="1"/>
    <xf numFmtId="166" fontId="1" fillId="0" borderId="0" xfId="0" applyFont="1" applyNumberFormat="1" applyAlignment="1">
      <alignment horizontal="left" vertical="center"/>
    </xf>
    <xf numFmtId="0" fontId="1" fillId="0" borderId="0" xfId="0" applyFont="1" applyAlignment="1">
      <alignment horizontal="left" vertical="center"/>
    </xf>
    <xf numFmtId="0" fontId="2" fillId="2" borderId="0" xfId="0" applyFont="1" applyFill="1" applyAlignment="1">
      <alignment horizontal="left"/>
    </xf>
    <xf numFmtId="167" fontId="1" fillId="0" borderId="0" xfId="0" applyFont="1" applyNumberFormat="1" applyAlignment="1">
      <alignment horizontal="left" vertical="center"/>
    </xf>
    <xf numFmtId="168" fontId="2" fillId="2" borderId="1" xfId="0" applyFont="1" applyNumberFormat="1" applyFill="1" applyBorder="1" applyAlignment="1">
      <alignment horizontal="left" vertical="center"/>
    </xf>
  </cellXfs>
  <cellStyles count="1">
    <cellStyle name="Normal" xfId="0" builtinId="0"/>
  </cellStyles>
  <dxfs count="1">
    <dxf>
      <font>
        <sz val="11"/>
        <color rgb="FFFF0000"/>
        <name val="Calibri"/>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3.xml><?xml version="1.0" encoding="utf-8"?>
<table xmlns="http://schemas.openxmlformats.org/spreadsheetml/2006/main" id="3" name="dados" displayName="dados" ref="A1:AT132" totalsRowCount="0" totalsRowShown="0">
  <autoFilter ref="A1:AT132"/>
  <tableColumns count="46">
    <tableColumn id="1" name="idCompra"/>
    <tableColumn id="2" name="idItemCompra"/>
    <tableColumn id="3" name="forma"/>
    <tableColumn id="4" name="modalidade"/>
    <tableColumn id="5" name="criterioJulgamento"/>
    <tableColumn id="6" name="numeroItemCompra"/>
    <tableColumn id="7" name="descricaoItem"/>
    <tableColumn id="8" name="codigoItemCatalogo"/>
    <tableColumn id="9" name="nomeUnidadeMedida"/>
    <tableColumn id="10" name="siglaUnidadeMedida"/>
    <tableColumn id="11" name="nomeUnidadeFornecimento"/>
    <tableColumn id="12" name="siglaUnidadeFornecimento"/>
    <tableColumn id="13" name="capacidadeUnidadeFornecimento"/>
    <tableColumn id="14" name="quantidade"/>
    <tableColumn id="15" name="precoUnitario"/>
    <tableColumn id="16" name="percentualMaiorDesconto"/>
    <tableColumn id="17" name="niFornecedor"/>
    <tableColumn id="18" name="nomeFornecedor"/>
    <tableColumn id="19" name="marca"/>
    <tableColumn id="20" name="codigoUasg"/>
    <tableColumn id="21" name="nomeUasg"/>
    <tableColumn id="22" name="codigoMunicipio"/>
    <tableColumn id="23" name="municipio"/>
    <tableColumn id="24" name="estado"/>
    <tableColumn id="25" name="codigoOrgao"/>
    <tableColumn id="26" name="nomeOrgao"/>
    <tableColumn id="27" name="poder"/>
    <tableColumn id="28" name="esfera"/>
    <tableColumn id="29" name="dataCompra"/>
    <tableColumn id="30" name="dataHoraAtualizacaoCompra"/>
    <tableColumn id="31" name="dataHoraAtualizacaoItem"/>
    <tableColumn id="32" name="dataResultado"/>
    <tableColumn id="33" name="dataHoraAtualizacaoUasg"/>
    <tableColumn id="34" name="codigoClasse"/>
    <tableColumn id="35" name="nomeClasse"/>
    <tableColumn id="36" name="objetoCompra"/>
    <tableColumn id="37" name="descricaoDetalhadaItem"/>
    <tableColumn id="38" name="Regiao"/>
    <tableColumn id="39" name="unidadeFornecimento"/>
    <tableColumn id="40" name="Q1"/>
    <tableColumn id="41" name="Q3"/>
    <tableColumn id="42" name="IQR"/>
    <tableColumn id="43" name="limite_inferior"/>
    <tableColumn id="44" name="limite_superior"/>
    <tableColumn id="45" name="Status"/>
    <tableColumn id="46" name="Justificativa"/>
  </tableColumns>
  <tableStyleInfo name="TableStyleLight9" showFirstColumn="0" showLastColumn="0" showRowStripes="1" showColumnStripes="0"/>
</table>
</file>

<file path=xl/tables/table4.xml><?xml version="1.0" encoding="utf-8"?>
<table xmlns="http://schemas.openxmlformats.org/spreadsheetml/2006/main" id="4" name="dadosiii" displayName="dadosiii" ref="A1:D2" totalsRowCount="0" totalsRowShown="0">
  <autoFilter ref="A1:D2"/>
  <tableColumns count="4">
    <tableColumn id="1" name="link"/>
    <tableColumn id="2" name="CATMAT"/>
    <tableColumn id="3" name="Preço Unitário"/>
    <tableColumn id="4" name="Data/Hor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30.71" hidden="0" customWidth="1"/>
    <col min="2" max="2" width="91.71" hidden="0" customWidth="1"/>
  </cols>
  <sheetData>
    <row r="1">
      <c r="A1" t="s">
        <v>902</v>
      </c>
      <c r="B1" t="s">
        <v>903</v>
      </c>
    </row>
    <row r="2">
      <c r="A2" t="s">
        <v>904</v>
      </c>
      <c r="B2" t="s">
        <v>905</v>
      </c>
    </row>
    <row r="4">
      <c r="A4" s="4" t="s">
        <v>906</v>
      </c>
      <c r="B4" s="4"/>
    </row>
    <row r="5">
      <c r="A5" t="s">
        <v>899</v>
      </c>
      <c r="B5" s="3" t="n">
        <v>606522</v>
      </c>
    </row>
    <row r="6">
      <c r="A6" t="s">
        <v>907</v>
      </c>
      <c r="B6" s="3" t="s">
        <v>67</v>
      </c>
    </row>
    <row r="7">
      <c r="A7" t="s">
        <v>908</v>
      </c>
      <c r="B7" s="3" t="s">
        <v>49</v>
      </c>
    </row>
    <row r="8">
      <c r="A8" t="s">
        <v>909</v>
      </c>
      <c r="B8" s="3" t="s">
        <v>63</v>
      </c>
    </row>
    <row r="9">
      <c r="A9" t="s">
        <v>910</v>
      </c>
      <c r="B9" s="3" t="str">
        <f>=ROWS(dados[idCompra])+COUNTIF(dadosIII[Preço Unitário], "&lt;&gt;")</f>
      </c>
    </row>
    <row r="10">
      <c r="A10" t="s">
        <v>911</v>
      </c>
      <c r="B10" s="3" t="str">
        <f>=COUNTIF(dados[Status], "Excluido")</f>
      </c>
    </row>
    <row r="11">
      <c r="A11" t="s">
        <v>912</v>
      </c>
      <c r="B11" s="3" t="str">
        <f>=COUNTIF(dados[Status], "Incluído")+COUNTIF(dadosIII[Preço Unitário], "&lt;&gt;")</f>
      </c>
    </row>
    <row r="12">
      <c r="A12" t="s">
        <v>913</v>
      </c>
      <c r="B12" s="5" t="str">
        <f t="array" ref="B12:B12">=AVERAGE(IF(dados[Status]="Incluído", dados[precoUnitario], ""), dadosIII[Preço Unitário])</f>
      </c>
    </row>
    <row r="13">
      <c r="A13" t="s">
        <v>915</v>
      </c>
      <c r="B13" s="5" t="str">
        <f t="array" ref="B13:B13">=MEDIAN(IF(dados[Status]="Incluído", dados[precoUnitario],), dadosIII[Preço Unitário])</f>
      </c>
    </row>
    <row r="14">
      <c r="A14" t="s">
        <v>917</v>
      </c>
      <c r="B14" s="5" t="str">
        <f t="array" ref="B14:B14">=IFERROR(STDEV(IF(dados[Status]="Incluído", dados[precoUnitario],""), dadosIII[Preço Unitário]), "")</f>
      </c>
    </row>
    <row r="15">
      <c r="A15" t="s">
        <v>919</v>
      </c>
      <c r="B15" s="2" t="str">
        <f>=IFERROR(B14/B12,"")</f>
      </c>
    </row>
    <row r="16">
      <c r="A16" s="6" t="s">
        <v>920</v>
      </c>
      <c r="B16" s="6" t="str">
        <f>=IF(B15&gt;0.25, B13, B12)</f>
      </c>
    </row>
    <row r="17">
      <c r="A17" s="6" t="s">
        <v>921</v>
      </c>
      <c r="B17" s="6" t="str">
        <f>=B16*1.347</f>
      </c>
    </row>
    <row r="18">
      <c r="A18" s="6" t="s">
        <v>922</v>
      </c>
      <c r="B18" s="6" t="str">
        <f>=IF(B15&gt;0.25,"Mediana (CV &gt; 25%)","Média (CV &lt;= 25%)")</f>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s">
        <v>46</v>
      </c>
      <c r="B2" t="n">
        <v>11189584</v>
      </c>
      <c r="C2" t="s">
        <v>47</v>
      </c>
      <c r="D2" t="n">
        <v>5</v>
      </c>
      <c r="E2" t="s">
        <v>48</v>
      </c>
      <c r="F2" t="n">
        <v>7</v>
      </c>
      <c r="G2" t="s">
        <v>49</v>
      </c>
      <c r="H2" t="n">
        <v>606522</v>
      </c>
      <c r="I2"/>
      <c r="J2" t="s">
        <v>50</v>
      </c>
      <c r="K2" t="s">
        <v>51</v>
      </c>
      <c r="L2" t="s">
        <v>52</v>
      </c>
      <c r="M2" t="n">
        <v>250</v>
      </c>
      <c r="N2" t="n">
        <v>350</v>
      </c>
      <c r="O2" t="n">
        <v>16.96</v>
      </c>
      <c r="P2" t="n">
        <v>0</v>
      </c>
      <c r="Q2" t="s">
        <v>53</v>
      </c>
      <c r="R2" t="s">
        <v>54</v>
      </c>
      <c r="S2" t="s">
        <v>55</v>
      </c>
      <c r="T2" t="s">
        <v>56</v>
      </c>
      <c r="U2" t="s">
        <v>57</v>
      </c>
      <c r="V2" t="n">
        <v>1400100</v>
      </c>
      <c r="W2" t="s">
        <v>58</v>
      </c>
      <c r="X2" t="s">
        <v>59</v>
      </c>
      <c r="Y2" t="n">
        <v>22202</v>
      </c>
      <c r="Z2" t="s">
        <v>60</v>
      </c>
      <c r="AA2" t="s">
        <v>61</v>
      </c>
      <c r="AB2" t="s">
        <v>62</v>
      </c>
      <c r="AC2" s="1" t="n">
        <v>46105</v>
      </c>
      <c r="AD2" s="1" t="n">
        <v>46106</v>
      </c>
      <c r="AE2" s="1" t="n">
        <v>46106</v>
      </c>
      <c r="AF2" s="1" t="n">
        <v>46105</v>
      </c>
      <c r="AG2" s="1" t="n">
        <v>46052</v>
      </c>
      <c r="AH2" t="n">
        <v>8955</v>
      </c>
      <c r="AI2" t="s">
        <v>63</v>
      </c>
      <c r="AJ2" t="s">
        <v>64</v>
      </c>
      <c r="AK2" t="s">
        <v>65</v>
      </c>
      <c r="AL2" t="s">
        <v>66</v>
      </c>
      <c r="AM2" t="s">
        <v>67</v>
      </c>
      <c r="AN2" t="n">
        <v>13.22</v>
      </c>
      <c r="AO2" t="n">
        <v>16.9</v>
      </c>
      <c r="AP2" t="n">
        <v>3.68</v>
      </c>
      <c r="AQ2" t="n">
        <v>7.7</v>
      </c>
      <c r="AR2" t="n">
        <v>22.42</v>
      </c>
      <c r="AS2" t="s">
        <v>68</v>
      </c>
      <c r="AT2"/>
    </row>
    <row r="3">
      <c r="A3" t="s">
        <v>69</v>
      </c>
      <c r="B3" t="n">
        <v>11191543</v>
      </c>
      <c r="C3" t="s">
        <v>70</v>
      </c>
      <c r="D3" t="n">
        <v>6</v>
      </c>
      <c r="E3" t="s">
        <v>71</v>
      </c>
      <c r="F3" t="n">
        <v>23</v>
      </c>
      <c r="G3" t="s">
        <v>49</v>
      </c>
      <c r="H3" t="n">
        <v>606522</v>
      </c>
      <c r="I3"/>
      <c r="J3" t="s">
        <v>50</v>
      </c>
      <c r="K3" t="s">
        <v>72</v>
      </c>
      <c r="L3" t="s">
        <v>73</v>
      </c>
      <c r="M3" t="n">
        <v>500</v>
      </c>
      <c r="N3" t="n">
        <v>200</v>
      </c>
      <c r="O3" t="n">
        <v>28.99</v>
      </c>
      <c r="P3" t="n">
        <v>0</v>
      </c>
      <c r="Q3" t="s">
        <v>74</v>
      </c>
      <c r="R3" t="s">
        <v>75</v>
      </c>
      <c r="S3" t="s">
        <v>76</v>
      </c>
      <c r="T3" t="s">
        <v>77</v>
      </c>
      <c r="U3" t="s">
        <v>78</v>
      </c>
      <c r="V3" t="n">
        <v>3306008</v>
      </c>
      <c r="W3" t="s">
        <v>79</v>
      </c>
      <c r="X3" t="s">
        <v>80</v>
      </c>
      <c r="Y3" t="n">
        <v>99076</v>
      </c>
      <c r="Z3" t="s">
        <v>78</v>
      </c>
      <c r="AA3" t="s">
        <v>61</v>
      </c>
      <c r="AB3" t="s">
        <v>81</v>
      </c>
      <c r="AC3" s="1" t="n">
        <v>46096</v>
      </c>
      <c r="AD3" s="1" t="n">
        <v>46106</v>
      </c>
      <c r="AE3" s="1" t="n">
        <v>46106</v>
      </c>
      <c r="AF3" s="1" t="n">
        <v>46105</v>
      </c>
      <c r="AG3" s="1" t="n">
        <v>45388</v>
      </c>
      <c r="AH3" t="n">
        <v>8955</v>
      </c>
      <c r="AI3" t="s">
        <v>63</v>
      </c>
      <c r="AJ3" t="s">
        <v>82</v>
      </c>
      <c r="AK3" t="s">
        <v>83</v>
      </c>
      <c r="AL3" t="s">
        <v>84</v>
      </c>
      <c r="AM3" t="s">
        <v>85</v>
      </c>
      <c r="AN3" t="n">
        <v>20.95</v>
      </c>
      <c r="AO3" t="n">
        <v>30.7825</v>
      </c>
      <c r="AP3" t="n">
        <v>9.8325</v>
      </c>
      <c r="AQ3" t="n">
        <v>6.20125</v>
      </c>
      <c r="AR3" t="n">
        <v>45.53125</v>
      </c>
      <c r="AS3" t="s">
        <v>68</v>
      </c>
      <c r="AT3"/>
    </row>
    <row r="4">
      <c r="A4" t="s">
        <v>86</v>
      </c>
      <c r="B4" t="n">
        <v>11179921</v>
      </c>
      <c r="C4" t="s">
        <v>70</v>
      </c>
      <c r="D4" t="n">
        <v>6</v>
      </c>
      <c r="E4" t="s">
        <v>71</v>
      </c>
      <c r="F4" t="n">
        <v>1</v>
      </c>
      <c r="G4" t="s">
        <v>49</v>
      </c>
      <c r="H4" t="n">
        <v>606522</v>
      </c>
      <c r="I4"/>
      <c r="J4" t="s">
        <v>50</v>
      </c>
      <c r="K4" t="s">
        <v>51</v>
      </c>
      <c r="L4" t="s">
        <v>52</v>
      </c>
      <c r="M4" t="n">
        <v>500</v>
      </c>
      <c r="N4" t="n">
        <v>600</v>
      </c>
      <c r="O4" t="n">
        <v>20.92</v>
      </c>
      <c r="P4" t="n">
        <v>0</v>
      </c>
      <c r="Q4" t="s">
        <v>87</v>
      </c>
      <c r="R4" t="s">
        <v>88</v>
      </c>
      <c r="S4" t="s">
        <v>89</v>
      </c>
      <c r="T4" t="s">
        <v>90</v>
      </c>
      <c r="U4" t="s">
        <v>91</v>
      </c>
      <c r="V4" t="n">
        <v>3303302</v>
      </c>
      <c r="W4" t="s">
        <v>92</v>
      </c>
      <c r="X4" t="s">
        <v>80</v>
      </c>
      <c r="Y4" t="n">
        <v>99756</v>
      </c>
      <c r="Z4" t="s">
        <v>91</v>
      </c>
      <c r="AA4" t="s">
        <v>61</v>
      </c>
      <c r="AB4" t="s">
        <v>81</v>
      </c>
      <c r="AC4" s="1" t="n">
        <v>46085</v>
      </c>
      <c r="AD4" s="1" t="n">
        <v>46105</v>
      </c>
      <c r="AE4" s="1" t="n">
        <v>46105</v>
      </c>
      <c r="AF4" s="1" t="n">
        <v>46104</v>
      </c>
      <c r="AG4" s="1" t="n">
        <v>45577</v>
      </c>
      <c r="AH4" t="n">
        <v>8955</v>
      </c>
      <c r="AI4" t="s">
        <v>63</v>
      </c>
      <c r="AJ4" t="s">
        <v>93</v>
      </c>
      <c r="AK4" t="s">
        <v>83</v>
      </c>
      <c r="AL4" t="s">
        <v>84</v>
      </c>
      <c r="AM4" t="s">
        <v>85</v>
      </c>
      <c r="AN4" t="n">
        <v>20.95</v>
      </c>
      <c r="AO4" t="n">
        <v>30.7825</v>
      </c>
      <c r="AP4" t="n">
        <v>9.8325</v>
      </c>
      <c r="AQ4" t="n">
        <v>6.20125</v>
      </c>
      <c r="AR4" t="n">
        <v>45.53125</v>
      </c>
      <c r="AS4" t="s">
        <v>68</v>
      </c>
      <c r="AT4"/>
    </row>
    <row r="5">
      <c r="A5" t="s">
        <v>94</v>
      </c>
      <c r="B5" t="n">
        <v>10963805</v>
      </c>
      <c r="C5" t="s">
        <v>47</v>
      </c>
      <c r="D5" t="n">
        <v>5</v>
      </c>
      <c r="E5" t="s">
        <v>48</v>
      </c>
      <c r="F5" t="n">
        <v>10</v>
      </c>
      <c r="G5" t="s">
        <v>49</v>
      </c>
      <c r="H5" t="n">
        <v>606522</v>
      </c>
      <c r="I5"/>
      <c r="J5" t="s">
        <v>50</v>
      </c>
      <c r="K5" t="s">
        <v>51</v>
      </c>
      <c r="L5" t="s">
        <v>52</v>
      </c>
      <c r="M5" t="n">
        <v>250</v>
      </c>
      <c r="N5" t="n">
        <v>444</v>
      </c>
      <c r="O5" t="n">
        <v>15</v>
      </c>
      <c r="P5" t="n">
        <v>0</v>
      </c>
      <c r="Q5" t="s">
        <v>95</v>
      </c>
      <c r="R5" t="s">
        <v>96</v>
      </c>
      <c r="S5" t="s">
        <v>97</v>
      </c>
      <c r="T5" t="s">
        <v>98</v>
      </c>
      <c r="U5" t="s">
        <v>99</v>
      </c>
      <c r="V5" t="n">
        <v>1400100</v>
      </c>
      <c r="W5" t="s">
        <v>58</v>
      </c>
      <c r="X5" t="s">
        <v>59</v>
      </c>
      <c r="Y5" t="n">
        <v>46000</v>
      </c>
      <c r="Z5" t="s">
        <v>100</v>
      </c>
      <c r="AA5" t="s">
        <v>61</v>
      </c>
      <c r="AB5" t="s">
        <v>62</v>
      </c>
      <c r="AC5" s="1" t="n">
        <v>46086</v>
      </c>
      <c r="AD5" s="1" t="n">
        <v>46087</v>
      </c>
      <c r="AE5" s="1" t="n">
        <v>46087</v>
      </c>
      <c r="AF5" s="1" t="n">
        <v>46086</v>
      </c>
      <c r="AG5" s="1" t="n">
        <v>45757</v>
      </c>
      <c r="AH5" t="n">
        <v>8955</v>
      </c>
      <c r="AI5" t="s">
        <v>63</v>
      </c>
      <c r="AJ5" t="s">
        <v>101</v>
      </c>
      <c r="AK5" t="s">
        <v>65</v>
      </c>
      <c r="AL5" t="s">
        <v>66</v>
      </c>
      <c r="AM5" t="s">
        <v>67</v>
      </c>
      <c r="AN5" t="n">
        <v>13.22</v>
      </c>
      <c r="AO5" t="n">
        <v>16.9</v>
      </c>
      <c r="AP5" t="n">
        <v>3.68</v>
      </c>
      <c r="AQ5" t="n">
        <v>7.7</v>
      </c>
      <c r="AR5" t="n">
        <v>22.42</v>
      </c>
      <c r="AS5" t="s">
        <v>68</v>
      </c>
      <c r="AT5"/>
    </row>
    <row r="6">
      <c r="A6" t="s">
        <v>102</v>
      </c>
      <c r="B6" t="n">
        <v>10974521</v>
      </c>
      <c r="C6" t="s">
        <v>70</v>
      </c>
      <c r="D6" t="n">
        <v>6</v>
      </c>
      <c r="E6" t="s">
        <v>71</v>
      </c>
      <c r="F6" t="n">
        <v>6</v>
      </c>
      <c r="G6" t="s">
        <v>49</v>
      </c>
      <c r="H6" t="n">
        <v>606522</v>
      </c>
      <c r="I6"/>
      <c r="J6" t="s">
        <v>50</v>
      </c>
      <c r="K6" t="s">
        <v>51</v>
      </c>
      <c r="L6" t="s">
        <v>52</v>
      </c>
      <c r="M6" t="n">
        <v>500</v>
      </c>
      <c r="N6" t="n">
        <v>180</v>
      </c>
      <c r="O6" t="n">
        <v>33</v>
      </c>
      <c r="P6" t="n">
        <v>0</v>
      </c>
      <c r="Q6" t="s">
        <v>103</v>
      </c>
      <c r="R6" t="s">
        <v>104</v>
      </c>
      <c r="S6" t="s">
        <v>105</v>
      </c>
      <c r="T6" t="s">
        <v>106</v>
      </c>
      <c r="U6" t="s">
        <v>107</v>
      </c>
      <c r="V6" t="n">
        <v>4108304</v>
      </c>
      <c r="W6" t="s">
        <v>108</v>
      </c>
      <c r="X6" t="s">
        <v>109</v>
      </c>
      <c r="Y6" t="n">
        <v>52131</v>
      </c>
      <c r="Z6" t="s">
        <v>110</v>
      </c>
      <c r="AA6" t="s">
        <v>61</v>
      </c>
      <c r="AB6" t="s">
        <v>62</v>
      </c>
      <c r="AC6" s="1" t="n">
        <v>46064</v>
      </c>
      <c r="AD6" s="1" t="n">
        <v>46078</v>
      </c>
      <c r="AE6" s="1" t="n">
        <v>46078</v>
      </c>
      <c r="AF6" s="1" t="n">
        <v>46077</v>
      </c>
      <c r="AG6" s="1" t="n">
        <v>45890</v>
      </c>
      <c r="AH6" t="n">
        <v>8955</v>
      </c>
      <c r="AI6" t="s">
        <v>63</v>
      </c>
      <c r="AJ6" t="s">
        <v>111</v>
      </c>
      <c r="AK6" t="s">
        <v>83</v>
      </c>
      <c r="AL6" t="s">
        <v>112</v>
      </c>
      <c r="AM6" t="s">
        <v>85</v>
      </c>
      <c r="AN6" t="n">
        <v>20.95</v>
      </c>
      <c r="AO6" t="n">
        <v>30.7825</v>
      </c>
      <c r="AP6" t="n">
        <v>9.8325</v>
      </c>
      <c r="AQ6" t="n">
        <v>6.20125</v>
      </c>
      <c r="AR6" t="n">
        <v>45.53125</v>
      </c>
      <c r="AS6" t="s">
        <v>68</v>
      </c>
      <c r="AT6"/>
    </row>
    <row r="7">
      <c r="A7" t="s">
        <v>113</v>
      </c>
      <c r="B7" t="n">
        <v>10921593</v>
      </c>
      <c r="C7" t="s">
        <v>70</v>
      </c>
      <c r="D7" t="n">
        <v>6</v>
      </c>
      <c r="E7" t="s">
        <v>71</v>
      </c>
      <c r="F7" t="n">
        <v>1</v>
      </c>
      <c r="G7" t="s">
        <v>49</v>
      </c>
      <c r="H7" t="n">
        <v>606522</v>
      </c>
      <c r="I7"/>
      <c r="J7" t="s">
        <v>50</v>
      </c>
      <c r="K7" t="s">
        <v>72</v>
      </c>
      <c r="L7" t="s">
        <v>73</v>
      </c>
      <c r="M7" t="n">
        <v>500</v>
      </c>
      <c r="N7" t="n">
        <v>300</v>
      </c>
      <c r="O7" t="n">
        <v>21.1</v>
      </c>
      <c r="P7" t="n">
        <v>0</v>
      </c>
      <c r="Q7" t="s">
        <v>87</v>
      </c>
      <c r="R7" t="s">
        <v>88</v>
      </c>
      <c r="S7" t="s">
        <v>89</v>
      </c>
      <c r="T7" t="s">
        <v>114</v>
      </c>
      <c r="U7" t="s">
        <v>115</v>
      </c>
      <c r="V7" t="n">
        <v>3106200</v>
      </c>
      <c r="W7" t="s">
        <v>116</v>
      </c>
      <c r="X7" t="s">
        <v>117</v>
      </c>
      <c r="Y7" t="n">
        <v>38722</v>
      </c>
      <c r="Z7" t="s">
        <v>115</v>
      </c>
      <c r="AA7" t="s">
        <v>61</v>
      </c>
      <c r="AB7" t="s">
        <v>62</v>
      </c>
      <c r="AC7" s="1" t="n">
        <v>46050</v>
      </c>
      <c r="AD7" s="1" t="n">
        <v>46067</v>
      </c>
      <c r="AE7" s="1" t="n">
        <v>46067</v>
      </c>
      <c r="AF7" s="1" t="n">
        <v>46066</v>
      </c>
      <c r="AG7" s="1" t="n">
        <v>45352</v>
      </c>
      <c r="AH7" t="n">
        <v>8955</v>
      </c>
      <c r="AI7" t="s">
        <v>63</v>
      </c>
      <c r="AJ7" t="s">
        <v>118</v>
      </c>
      <c r="AK7" t="s">
        <v>83</v>
      </c>
      <c r="AL7" t="s">
        <v>84</v>
      </c>
      <c r="AM7" t="s">
        <v>85</v>
      </c>
      <c r="AN7" t="n">
        <v>20.95</v>
      </c>
      <c r="AO7" t="n">
        <v>30.7825</v>
      </c>
      <c r="AP7" t="n">
        <v>9.8325</v>
      </c>
      <c r="AQ7" t="n">
        <v>6.20125</v>
      </c>
      <c r="AR7" t="n">
        <v>45.53125</v>
      </c>
      <c r="AS7" t="s">
        <v>68</v>
      </c>
      <c r="AT7"/>
    </row>
    <row r="8">
      <c r="A8" t="s">
        <v>119</v>
      </c>
      <c r="B8" t="n">
        <v>10870490</v>
      </c>
      <c r="C8" t="s">
        <v>47</v>
      </c>
      <c r="D8" t="n">
        <v>5</v>
      </c>
      <c r="E8" t="s">
        <v>48</v>
      </c>
      <c r="F8" t="n">
        <v>2</v>
      </c>
      <c r="G8" t="s">
        <v>49</v>
      </c>
      <c r="H8" t="n">
        <v>606522</v>
      </c>
      <c r="I8"/>
      <c r="J8" t="s">
        <v>50</v>
      </c>
      <c r="K8" t="s">
        <v>51</v>
      </c>
      <c r="L8" t="s">
        <v>52</v>
      </c>
      <c r="M8" t="n">
        <v>250</v>
      </c>
      <c r="N8" t="n">
        <v>3860</v>
      </c>
      <c r="O8" t="n">
        <v>16.82</v>
      </c>
      <c r="P8" t="n">
        <v>0</v>
      </c>
      <c r="Q8" t="s">
        <v>120</v>
      </c>
      <c r="R8" t="s">
        <v>121</v>
      </c>
      <c r="S8" t="s">
        <v>122</v>
      </c>
      <c r="T8" t="s">
        <v>123</v>
      </c>
      <c r="U8" t="s">
        <v>124</v>
      </c>
      <c r="V8" t="n">
        <v>1600600</v>
      </c>
      <c r="W8" t="s">
        <v>125</v>
      </c>
      <c r="X8" t="s">
        <v>126</v>
      </c>
      <c r="Y8" t="n">
        <v>93279</v>
      </c>
      <c r="Z8" t="s">
        <v>124</v>
      </c>
      <c r="AA8" t="s">
        <v>61</v>
      </c>
      <c r="AB8" t="s">
        <v>81</v>
      </c>
      <c r="AC8" s="1" t="n">
        <v>46061</v>
      </c>
      <c r="AD8" s="1" t="n">
        <v>46062</v>
      </c>
      <c r="AE8" s="1" t="n">
        <v>46062</v>
      </c>
      <c r="AF8" s="1" t="n">
        <v>46061</v>
      </c>
      <c r="AG8" s="1" t="n">
        <v>45570</v>
      </c>
      <c r="AH8" t="n">
        <v>8955</v>
      </c>
      <c r="AI8" t="s">
        <v>63</v>
      </c>
      <c r="AJ8" t="s">
        <v>127</v>
      </c>
      <c r="AK8" t="s">
        <v>65</v>
      </c>
      <c r="AL8" t="s">
        <v>66</v>
      </c>
      <c r="AM8" t="s">
        <v>67</v>
      </c>
      <c r="AN8" t="n">
        <v>13.22</v>
      </c>
      <c r="AO8" t="n">
        <v>16.9</v>
      </c>
      <c r="AP8" t="n">
        <v>3.68</v>
      </c>
      <c r="AQ8" t="n">
        <v>7.7</v>
      </c>
      <c r="AR8" t="n">
        <v>22.42</v>
      </c>
      <c r="AS8" t="s">
        <v>68</v>
      </c>
      <c r="AT8"/>
    </row>
    <row r="9">
      <c r="A9" t="s">
        <v>128</v>
      </c>
      <c r="B9" t="n">
        <v>10430301</v>
      </c>
      <c r="C9" t="s">
        <v>47</v>
      </c>
      <c r="D9" t="n">
        <v>5</v>
      </c>
      <c r="E9" t="s">
        <v>48</v>
      </c>
      <c r="F9" t="n">
        <v>27</v>
      </c>
      <c r="G9" t="s">
        <v>49</v>
      </c>
      <c r="H9" t="n">
        <v>606522</v>
      </c>
      <c r="I9"/>
      <c r="J9"/>
      <c r="K9" t="s">
        <v>129</v>
      </c>
      <c r="L9" t="s">
        <v>130</v>
      </c>
      <c r="M9" t="n">
        <v>0</v>
      </c>
      <c r="N9" t="n">
        <v>13462</v>
      </c>
      <c r="O9" t="n">
        <v>26.4</v>
      </c>
      <c r="P9" t="n">
        <v>0</v>
      </c>
      <c r="Q9" t="s">
        <v>131</v>
      </c>
      <c r="R9" t="s">
        <v>132</v>
      </c>
      <c r="S9" t="s">
        <v>133</v>
      </c>
      <c r="T9" t="s">
        <v>134</v>
      </c>
      <c r="U9" t="s">
        <v>135</v>
      </c>
      <c r="V9" t="n">
        <v>1302603</v>
      </c>
      <c r="W9" t="s">
        <v>136</v>
      </c>
      <c r="X9" t="s">
        <v>137</v>
      </c>
      <c r="Y9" t="n">
        <v>52111</v>
      </c>
      <c r="Z9" t="s">
        <v>138</v>
      </c>
      <c r="AA9" t="s">
        <v>61</v>
      </c>
      <c r="AB9" t="s">
        <v>62</v>
      </c>
      <c r="AC9" s="1" t="n">
        <v>46059</v>
      </c>
      <c r="AD9" s="1" t="n">
        <v>46060</v>
      </c>
      <c r="AE9" s="1" t="n">
        <v>46060</v>
      </c>
      <c r="AF9" s="1" t="n">
        <v>46059</v>
      </c>
      <c r="AG9" s="1" t="n">
        <v>46091</v>
      </c>
      <c r="AH9" t="n">
        <v>8955</v>
      </c>
      <c r="AI9" t="s">
        <v>63</v>
      </c>
      <c r="AJ9" t="s">
        <v>139</v>
      </c>
      <c r="AK9" t="s">
        <v>65</v>
      </c>
      <c r="AL9" t="s">
        <v>66</v>
      </c>
      <c r="AM9" t="s">
        <v>140</v>
      </c>
      <c r="AN9" t="n">
        <v>14.3</v>
      </c>
      <c r="AO9" t="n">
        <v>26.28</v>
      </c>
      <c r="AP9" t="n">
        <v>11.98</v>
      </c>
      <c r="AQ9" t="n">
        <v>-3.67</v>
      </c>
      <c r="AR9" t="n">
        <v>44.25</v>
      </c>
      <c r="AS9" t="s">
        <v>68</v>
      </c>
      <c r="AT9"/>
    </row>
    <row r="10">
      <c r="A10" t="s">
        <v>128</v>
      </c>
      <c r="B10" t="n">
        <v>10430302</v>
      </c>
      <c r="C10" t="s">
        <v>47</v>
      </c>
      <c r="D10" t="n">
        <v>5</v>
      </c>
      <c r="E10" t="s">
        <v>48</v>
      </c>
      <c r="F10" t="n">
        <v>28</v>
      </c>
      <c r="G10" t="s">
        <v>49</v>
      </c>
      <c r="H10" t="n">
        <v>606522</v>
      </c>
      <c r="I10"/>
      <c r="J10"/>
      <c r="K10" t="s">
        <v>129</v>
      </c>
      <c r="L10" t="s">
        <v>130</v>
      </c>
      <c r="M10" t="n">
        <v>0</v>
      </c>
      <c r="N10" t="n">
        <v>1538</v>
      </c>
      <c r="O10" t="n">
        <v>26.4</v>
      </c>
      <c r="P10" t="n">
        <v>0</v>
      </c>
      <c r="Q10" t="s">
        <v>131</v>
      </c>
      <c r="R10" t="s">
        <v>132</v>
      </c>
      <c r="S10" t="s">
        <v>133</v>
      </c>
      <c r="T10" t="s">
        <v>134</v>
      </c>
      <c r="U10" t="s">
        <v>135</v>
      </c>
      <c r="V10" t="n">
        <v>1302603</v>
      </c>
      <c r="W10" t="s">
        <v>136</v>
      </c>
      <c r="X10" t="s">
        <v>137</v>
      </c>
      <c r="Y10" t="n">
        <v>52111</v>
      </c>
      <c r="Z10" t="s">
        <v>138</v>
      </c>
      <c r="AA10" t="s">
        <v>61</v>
      </c>
      <c r="AB10" t="s">
        <v>62</v>
      </c>
      <c r="AC10" s="1" t="n">
        <v>46059</v>
      </c>
      <c r="AD10" s="1" t="n">
        <v>46060</v>
      </c>
      <c r="AE10" s="1" t="n">
        <v>46060</v>
      </c>
      <c r="AF10" s="1" t="n">
        <v>46059</v>
      </c>
      <c r="AG10" s="1" t="n">
        <v>46091</v>
      </c>
      <c r="AH10" t="n">
        <v>8955</v>
      </c>
      <c r="AI10" t="s">
        <v>63</v>
      </c>
      <c r="AJ10" t="s">
        <v>139</v>
      </c>
      <c r="AK10" t="s">
        <v>65</v>
      </c>
      <c r="AL10" t="s">
        <v>66</v>
      </c>
      <c r="AM10" t="s">
        <v>140</v>
      </c>
      <c r="AN10" t="n">
        <v>14.3</v>
      </c>
      <c r="AO10" t="n">
        <v>26.28</v>
      </c>
      <c r="AP10" t="n">
        <v>11.98</v>
      </c>
      <c r="AQ10" t="n">
        <v>-3.67</v>
      </c>
      <c r="AR10" t="n">
        <v>44.25</v>
      </c>
      <c r="AS10" t="s">
        <v>68</v>
      </c>
      <c r="AT10"/>
    </row>
    <row r="11">
      <c r="A11" t="s">
        <v>141</v>
      </c>
      <c r="B11" t="n">
        <v>10760524</v>
      </c>
      <c r="C11" t="s">
        <v>47</v>
      </c>
      <c r="D11" t="n">
        <v>5</v>
      </c>
      <c r="E11" t="s">
        <v>48</v>
      </c>
      <c r="F11" t="n">
        <v>35</v>
      </c>
      <c r="G11" t="s">
        <v>49</v>
      </c>
      <c r="H11" t="n">
        <v>606522</v>
      </c>
      <c r="I11"/>
      <c r="J11" t="s">
        <v>50</v>
      </c>
      <c r="K11" t="s">
        <v>51</v>
      </c>
      <c r="L11" t="s">
        <v>52</v>
      </c>
      <c r="M11" t="n">
        <v>250</v>
      </c>
      <c r="N11" t="n">
        <v>800</v>
      </c>
      <c r="O11" t="n">
        <v>11.48</v>
      </c>
      <c r="P11" t="n">
        <v>0</v>
      </c>
      <c r="Q11" t="s">
        <v>142</v>
      </c>
      <c r="R11" t="s">
        <v>143</v>
      </c>
      <c r="S11" t="s">
        <v>144</v>
      </c>
      <c r="T11" t="s">
        <v>145</v>
      </c>
      <c r="U11" t="s">
        <v>146</v>
      </c>
      <c r="V11" t="n">
        <v>2408003</v>
      </c>
      <c r="W11" t="s">
        <v>147</v>
      </c>
      <c r="X11" t="s">
        <v>148</v>
      </c>
      <c r="Y11" t="n">
        <v>26435</v>
      </c>
      <c r="Z11" t="s">
        <v>149</v>
      </c>
      <c r="AA11" t="s">
        <v>61</v>
      </c>
      <c r="AB11" t="s">
        <v>62</v>
      </c>
      <c r="AC11" s="1" t="n">
        <v>46049</v>
      </c>
      <c r="AD11" s="1" t="n">
        <v>46050</v>
      </c>
      <c r="AE11" s="1" t="n">
        <v>46050</v>
      </c>
      <c r="AF11" s="1" t="n">
        <v>46049</v>
      </c>
      <c r="AG11" s="1" t="n">
        <v>45986</v>
      </c>
      <c r="AH11" t="n">
        <v>8955</v>
      </c>
      <c r="AI11" t="s">
        <v>63</v>
      </c>
      <c r="AJ11" t="s">
        <v>150</v>
      </c>
      <c r="AK11" t="s">
        <v>65</v>
      </c>
      <c r="AL11" t="s">
        <v>151</v>
      </c>
      <c r="AM11" t="s">
        <v>67</v>
      </c>
      <c r="AN11" t="n">
        <v>13.22</v>
      </c>
      <c r="AO11" t="n">
        <v>16.9</v>
      </c>
      <c r="AP11" t="n">
        <v>3.68</v>
      </c>
      <c r="AQ11" t="n">
        <v>7.7</v>
      </c>
      <c r="AR11" t="n">
        <v>22.42</v>
      </c>
      <c r="AS11" t="s">
        <v>68</v>
      </c>
      <c r="AT11"/>
    </row>
    <row r="12">
      <c r="A12" t="s">
        <v>152</v>
      </c>
      <c r="B12" t="n">
        <v>10786606</v>
      </c>
      <c r="C12" t="s">
        <v>47</v>
      </c>
      <c r="D12" t="n">
        <v>5</v>
      </c>
      <c r="E12" t="s">
        <v>48</v>
      </c>
      <c r="F12" t="n">
        <v>605</v>
      </c>
      <c r="G12" t="s">
        <v>49</v>
      </c>
      <c r="H12" t="n">
        <v>606522</v>
      </c>
      <c r="I12"/>
      <c r="J12" t="s">
        <v>50</v>
      </c>
      <c r="K12" t="s">
        <v>51</v>
      </c>
      <c r="L12" t="s">
        <v>52</v>
      </c>
      <c r="M12" t="n">
        <v>500</v>
      </c>
      <c r="N12" t="n">
        <v>1400</v>
      </c>
      <c r="O12" t="n">
        <v>24</v>
      </c>
      <c r="P12" t="n">
        <v>0</v>
      </c>
      <c r="Q12" t="s">
        <v>153</v>
      </c>
      <c r="R12" t="s">
        <v>154</v>
      </c>
      <c r="S12" t="s">
        <v>155</v>
      </c>
      <c r="T12" t="s">
        <v>156</v>
      </c>
      <c r="U12" t="s">
        <v>157</v>
      </c>
      <c r="V12" t="n">
        <v>1100205</v>
      </c>
      <c r="W12" t="s">
        <v>158</v>
      </c>
      <c r="X12" t="s">
        <v>159</v>
      </c>
      <c r="Y12" t="n">
        <v>26421</v>
      </c>
      <c r="Z12" t="s">
        <v>160</v>
      </c>
      <c r="AA12" t="s">
        <v>61</v>
      </c>
      <c r="AB12" t="s">
        <v>62</v>
      </c>
      <c r="AC12" s="1" t="n">
        <v>46049</v>
      </c>
      <c r="AD12" s="1" t="n">
        <v>46050</v>
      </c>
      <c r="AE12" s="1" t="n">
        <v>46050</v>
      </c>
      <c r="AF12" s="1" t="n">
        <v>46049</v>
      </c>
      <c r="AG12" s="1" t="n">
        <v>45880</v>
      </c>
      <c r="AH12" t="n">
        <v>8955</v>
      </c>
      <c r="AI12" t="s">
        <v>63</v>
      </c>
      <c r="AJ12" t="s">
        <v>161</v>
      </c>
      <c r="AK12" t="s">
        <v>65</v>
      </c>
      <c r="AL12" t="s">
        <v>66</v>
      </c>
      <c r="AM12" t="s">
        <v>85</v>
      </c>
      <c r="AN12" t="n">
        <v>20.95</v>
      </c>
      <c r="AO12" t="n">
        <v>30.7825</v>
      </c>
      <c r="AP12" t="n">
        <v>9.8325</v>
      </c>
      <c r="AQ12" t="n">
        <v>6.20125</v>
      </c>
      <c r="AR12" t="n">
        <v>45.53125</v>
      </c>
      <c r="AS12" t="s">
        <v>68</v>
      </c>
      <c r="AT12"/>
    </row>
    <row r="13">
      <c r="A13" t="s">
        <v>152</v>
      </c>
      <c r="B13" t="n">
        <v>10786256</v>
      </c>
      <c r="C13" t="s">
        <v>47</v>
      </c>
      <c r="D13" t="n">
        <v>5</v>
      </c>
      <c r="E13" t="s">
        <v>48</v>
      </c>
      <c r="F13" t="n">
        <v>67</v>
      </c>
      <c r="G13" t="s">
        <v>49</v>
      </c>
      <c r="H13" t="n">
        <v>606522</v>
      </c>
      <c r="I13"/>
      <c r="J13" t="s">
        <v>50</v>
      </c>
      <c r="K13" t="s">
        <v>51</v>
      </c>
      <c r="L13" t="s">
        <v>52</v>
      </c>
      <c r="M13" t="n">
        <v>500</v>
      </c>
      <c r="N13" t="n">
        <v>1500</v>
      </c>
      <c r="O13" t="n">
        <v>31.19</v>
      </c>
      <c r="P13" t="n">
        <v>0</v>
      </c>
      <c r="Q13" t="s">
        <v>162</v>
      </c>
      <c r="R13" t="s">
        <v>163</v>
      </c>
      <c r="S13" t="s">
        <v>164</v>
      </c>
      <c r="T13" t="s">
        <v>156</v>
      </c>
      <c r="U13" t="s">
        <v>157</v>
      </c>
      <c r="V13" t="n">
        <v>1100205</v>
      </c>
      <c r="W13" t="s">
        <v>158</v>
      </c>
      <c r="X13" t="s">
        <v>159</v>
      </c>
      <c r="Y13" t="n">
        <v>26421</v>
      </c>
      <c r="Z13" t="s">
        <v>160</v>
      </c>
      <c r="AA13" t="s">
        <v>61</v>
      </c>
      <c r="AB13" t="s">
        <v>62</v>
      </c>
      <c r="AC13" s="1" t="n">
        <v>46049</v>
      </c>
      <c r="AD13" s="1" t="n">
        <v>46050</v>
      </c>
      <c r="AE13" s="1" t="n">
        <v>46050</v>
      </c>
      <c r="AF13" s="1" t="n">
        <v>46049</v>
      </c>
      <c r="AG13" s="1" t="n">
        <v>45880</v>
      </c>
      <c r="AH13" t="n">
        <v>8955</v>
      </c>
      <c r="AI13" t="s">
        <v>63</v>
      </c>
      <c r="AJ13" t="s">
        <v>161</v>
      </c>
      <c r="AK13" t="s">
        <v>65</v>
      </c>
      <c r="AL13" t="s">
        <v>66</v>
      </c>
      <c r="AM13" t="s">
        <v>85</v>
      </c>
      <c r="AN13" t="n">
        <v>20.95</v>
      </c>
      <c r="AO13" t="n">
        <v>30.7825</v>
      </c>
      <c r="AP13" t="n">
        <v>9.8325</v>
      </c>
      <c r="AQ13" t="n">
        <v>6.20125</v>
      </c>
      <c r="AR13" t="n">
        <v>45.53125</v>
      </c>
      <c r="AS13" t="s">
        <v>68</v>
      </c>
      <c r="AT13"/>
    </row>
    <row r="14">
      <c r="A14" t="s">
        <v>152</v>
      </c>
      <c r="B14" t="n">
        <v>10786494</v>
      </c>
      <c r="C14" t="s">
        <v>47</v>
      </c>
      <c r="D14" t="n">
        <v>5</v>
      </c>
      <c r="E14" t="s">
        <v>48</v>
      </c>
      <c r="F14" t="n">
        <v>471</v>
      </c>
      <c r="G14" t="s">
        <v>49</v>
      </c>
      <c r="H14" t="n">
        <v>606522</v>
      </c>
      <c r="I14"/>
      <c r="J14" t="s">
        <v>50</v>
      </c>
      <c r="K14" t="s">
        <v>51</v>
      </c>
      <c r="L14" t="s">
        <v>52</v>
      </c>
      <c r="M14" t="n">
        <v>500</v>
      </c>
      <c r="N14" t="n">
        <v>1500</v>
      </c>
      <c r="O14" t="n">
        <v>25.7</v>
      </c>
      <c r="P14" t="n">
        <v>0</v>
      </c>
      <c r="Q14" t="s">
        <v>153</v>
      </c>
      <c r="R14" t="s">
        <v>154</v>
      </c>
      <c r="S14" t="s">
        <v>155</v>
      </c>
      <c r="T14" t="s">
        <v>156</v>
      </c>
      <c r="U14" t="s">
        <v>157</v>
      </c>
      <c r="V14" t="n">
        <v>1100205</v>
      </c>
      <c r="W14" t="s">
        <v>158</v>
      </c>
      <c r="X14" t="s">
        <v>159</v>
      </c>
      <c r="Y14" t="n">
        <v>26421</v>
      </c>
      <c r="Z14" t="s">
        <v>160</v>
      </c>
      <c r="AA14" t="s">
        <v>61</v>
      </c>
      <c r="AB14" t="s">
        <v>62</v>
      </c>
      <c r="AC14" s="1" t="n">
        <v>46049</v>
      </c>
      <c r="AD14" s="1" t="n">
        <v>46050</v>
      </c>
      <c r="AE14" s="1" t="n">
        <v>46050</v>
      </c>
      <c r="AF14" s="1" t="n">
        <v>46049</v>
      </c>
      <c r="AG14" s="1" t="n">
        <v>45880</v>
      </c>
      <c r="AH14" t="n">
        <v>8955</v>
      </c>
      <c r="AI14" t="s">
        <v>63</v>
      </c>
      <c r="AJ14" t="s">
        <v>161</v>
      </c>
      <c r="AK14" t="s">
        <v>65</v>
      </c>
      <c r="AL14" t="s">
        <v>66</v>
      </c>
      <c r="AM14" t="s">
        <v>85</v>
      </c>
      <c r="AN14" t="n">
        <v>20.95</v>
      </c>
      <c r="AO14" t="n">
        <v>30.7825</v>
      </c>
      <c r="AP14" t="n">
        <v>9.8325</v>
      </c>
      <c r="AQ14" t="n">
        <v>6.20125</v>
      </c>
      <c r="AR14" t="n">
        <v>45.53125</v>
      </c>
      <c r="AS14" t="s">
        <v>68</v>
      </c>
      <c r="AT14"/>
    </row>
    <row r="15">
      <c r="A15" t="s">
        <v>152</v>
      </c>
      <c r="B15" t="n">
        <v>10786391</v>
      </c>
      <c r="C15" t="s">
        <v>47</v>
      </c>
      <c r="D15" t="n">
        <v>5</v>
      </c>
      <c r="E15" t="s">
        <v>48</v>
      </c>
      <c r="F15" t="n">
        <v>350</v>
      </c>
      <c r="G15" t="s">
        <v>49</v>
      </c>
      <c r="H15" t="n">
        <v>606522</v>
      </c>
      <c r="I15"/>
      <c r="J15" t="s">
        <v>50</v>
      </c>
      <c r="K15" t="s">
        <v>51</v>
      </c>
      <c r="L15" t="s">
        <v>52</v>
      </c>
      <c r="M15" t="n">
        <v>500</v>
      </c>
      <c r="N15" t="n">
        <v>673</v>
      </c>
      <c r="O15" t="n">
        <v>31</v>
      </c>
      <c r="P15" t="n">
        <v>0</v>
      </c>
      <c r="Q15" t="s">
        <v>153</v>
      </c>
      <c r="R15" t="s">
        <v>154</v>
      </c>
      <c r="S15" t="s">
        <v>155</v>
      </c>
      <c r="T15" t="s">
        <v>156</v>
      </c>
      <c r="U15" t="s">
        <v>157</v>
      </c>
      <c r="V15" t="n">
        <v>1100205</v>
      </c>
      <c r="W15" t="s">
        <v>158</v>
      </c>
      <c r="X15" t="s">
        <v>159</v>
      </c>
      <c r="Y15" t="n">
        <v>26421</v>
      </c>
      <c r="Z15" t="s">
        <v>160</v>
      </c>
      <c r="AA15" t="s">
        <v>61</v>
      </c>
      <c r="AB15" t="s">
        <v>62</v>
      </c>
      <c r="AC15" s="1" t="n">
        <v>46049</v>
      </c>
      <c r="AD15" s="1" t="n">
        <v>46050</v>
      </c>
      <c r="AE15" s="1" t="n">
        <v>46050</v>
      </c>
      <c r="AF15" s="1" t="n">
        <v>46049</v>
      </c>
      <c r="AG15" s="1" t="n">
        <v>45880</v>
      </c>
      <c r="AH15" t="n">
        <v>8955</v>
      </c>
      <c r="AI15" t="s">
        <v>63</v>
      </c>
      <c r="AJ15" t="s">
        <v>161</v>
      </c>
      <c r="AK15" t="s">
        <v>65</v>
      </c>
      <c r="AL15" t="s">
        <v>66</v>
      </c>
      <c r="AM15" t="s">
        <v>85</v>
      </c>
      <c r="AN15" t="n">
        <v>20.95</v>
      </c>
      <c r="AO15" t="n">
        <v>30.7825</v>
      </c>
      <c r="AP15" t="n">
        <v>9.8325</v>
      </c>
      <c r="AQ15" t="n">
        <v>6.20125</v>
      </c>
      <c r="AR15" t="n">
        <v>45.53125</v>
      </c>
      <c r="AS15" t="s">
        <v>68</v>
      </c>
      <c r="AT15"/>
    </row>
    <row r="16">
      <c r="A16" t="s">
        <v>152</v>
      </c>
      <c r="B16" t="n">
        <v>10786342</v>
      </c>
      <c r="C16" t="s">
        <v>47</v>
      </c>
      <c r="D16" t="n">
        <v>5</v>
      </c>
      <c r="E16" t="s">
        <v>48</v>
      </c>
      <c r="F16" t="n">
        <v>229</v>
      </c>
      <c r="G16" t="s">
        <v>49</v>
      </c>
      <c r="H16" t="n">
        <v>606522</v>
      </c>
      <c r="I16"/>
      <c r="J16" t="s">
        <v>50</v>
      </c>
      <c r="K16" t="s">
        <v>51</v>
      </c>
      <c r="L16" t="s">
        <v>52</v>
      </c>
      <c r="M16" t="n">
        <v>500</v>
      </c>
      <c r="N16" t="n">
        <v>300</v>
      </c>
      <c r="O16" t="n">
        <v>35</v>
      </c>
      <c r="P16" t="n">
        <v>0</v>
      </c>
      <c r="Q16" t="s">
        <v>165</v>
      </c>
      <c r="R16" t="s">
        <v>166</v>
      </c>
      <c r="S16" t="s">
        <v>167</v>
      </c>
      <c r="T16" t="s">
        <v>156</v>
      </c>
      <c r="U16" t="s">
        <v>157</v>
      </c>
      <c r="V16" t="n">
        <v>1100205</v>
      </c>
      <c r="W16" t="s">
        <v>158</v>
      </c>
      <c r="X16" t="s">
        <v>159</v>
      </c>
      <c r="Y16" t="n">
        <v>26421</v>
      </c>
      <c r="Z16" t="s">
        <v>160</v>
      </c>
      <c r="AA16" t="s">
        <v>61</v>
      </c>
      <c r="AB16" t="s">
        <v>62</v>
      </c>
      <c r="AC16" s="1" t="n">
        <v>46049</v>
      </c>
      <c r="AD16" s="1" t="n">
        <v>46050</v>
      </c>
      <c r="AE16" s="1" t="n">
        <v>46050</v>
      </c>
      <c r="AF16" s="1" t="n">
        <v>46049</v>
      </c>
      <c r="AG16" s="1" t="n">
        <v>45880</v>
      </c>
      <c r="AH16" t="n">
        <v>8955</v>
      </c>
      <c r="AI16" t="s">
        <v>63</v>
      </c>
      <c r="AJ16" t="s">
        <v>161</v>
      </c>
      <c r="AK16" t="s">
        <v>65</v>
      </c>
      <c r="AL16" t="s">
        <v>66</v>
      </c>
      <c r="AM16" t="s">
        <v>85</v>
      </c>
      <c r="AN16" t="n">
        <v>20.95</v>
      </c>
      <c r="AO16" t="n">
        <v>30.7825</v>
      </c>
      <c r="AP16" t="n">
        <v>9.8325</v>
      </c>
      <c r="AQ16" t="n">
        <v>6.20125</v>
      </c>
      <c r="AR16" t="n">
        <v>45.53125</v>
      </c>
      <c r="AS16" t="s">
        <v>68</v>
      </c>
      <c r="AT16"/>
    </row>
    <row r="17">
      <c r="A17" t="s">
        <v>168</v>
      </c>
      <c r="B17" t="n">
        <v>10756619</v>
      </c>
      <c r="C17" t="s">
        <v>70</v>
      </c>
      <c r="D17" t="n">
        <v>6</v>
      </c>
      <c r="E17" t="s">
        <v>71</v>
      </c>
      <c r="F17" t="n">
        <v>2</v>
      </c>
      <c r="G17" t="s">
        <v>49</v>
      </c>
      <c r="H17" t="n">
        <v>606522</v>
      </c>
      <c r="I17"/>
      <c r="J17" t="s">
        <v>50</v>
      </c>
      <c r="K17" t="s">
        <v>72</v>
      </c>
      <c r="L17" t="s">
        <v>73</v>
      </c>
      <c r="M17" t="n">
        <v>500</v>
      </c>
      <c r="N17" t="n">
        <v>40</v>
      </c>
      <c r="O17" t="n">
        <v>27</v>
      </c>
      <c r="P17" t="n">
        <v>0</v>
      </c>
      <c r="Q17" t="s">
        <v>169</v>
      </c>
      <c r="R17" t="s">
        <v>170</v>
      </c>
      <c r="S17" t="s">
        <v>171</v>
      </c>
      <c r="T17" t="s">
        <v>172</v>
      </c>
      <c r="U17" t="s">
        <v>173</v>
      </c>
      <c r="V17" t="n">
        <v>4318408</v>
      </c>
      <c r="W17" t="s">
        <v>174</v>
      </c>
      <c r="X17" t="s">
        <v>175</v>
      </c>
      <c r="Y17" t="n">
        <v>96775</v>
      </c>
      <c r="Z17" t="s">
        <v>176</v>
      </c>
      <c r="AA17"/>
      <c r="AB17" t="s">
        <v>81</v>
      </c>
      <c r="AC17" s="1" t="n">
        <v>46013</v>
      </c>
      <c r="AD17" s="1" t="n">
        <v>46045</v>
      </c>
      <c r="AE17" s="1" t="n">
        <v>46045</v>
      </c>
      <c r="AF17" s="1" t="n">
        <v>46044</v>
      </c>
      <c r="AG17" s="1" t="n">
        <v>45382</v>
      </c>
      <c r="AH17" t="n">
        <v>8955</v>
      </c>
      <c r="AI17" t="s">
        <v>63</v>
      </c>
      <c r="AJ17" t="s">
        <v>177</v>
      </c>
      <c r="AK17" t="s">
        <v>83</v>
      </c>
      <c r="AL17" t="s">
        <v>112</v>
      </c>
      <c r="AM17" t="s">
        <v>85</v>
      </c>
      <c r="AN17" t="n">
        <v>20.95</v>
      </c>
      <c r="AO17" t="n">
        <v>30.7825</v>
      </c>
      <c r="AP17" t="n">
        <v>9.8325</v>
      </c>
      <c r="AQ17" t="n">
        <v>6.20125</v>
      </c>
      <c r="AR17" t="n">
        <v>45.53125</v>
      </c>
      <c r="AS17" t="s">
        <v>68</v>
      </c>
      <c r="AT17"/>
    </row>
    <row r="18">
      <c r="A18" t="s">
        <v>178</v>
      </c>
      <c r="B18" t="n">
        <v>5290597</v>
      </c>
      <c r="C18" t="s">
        <v>47</v>
      </c>
      <c r="D18" t="n">
        <v>5</v>
      </c>
      <c r="E18" t="s">
        <v>48</v>
      </c>
      <c r="F18" t="n">
        <v>33</v>
      </c>
      <c r="G18" t="s">
        <v>49</v>
      </c>
      <c r="H18" t="n">
        <v>606522</v>
      </c>
      <c r="I18"/>
      <c r="J18" t="s">
        <v>50</v>
      </c>
      <c r="K18" t="s">
        <v>51</v>
      </c>
      <c r="L18" t="s">
        <v>52</v>
      </c>
      <c r="M18" t="n">
        <v>250</v>
      </c>
      <c r="N18" t="n">
        <v>1200</v>
      </c>
      <c r="O18" t="n">
        <v>6.99</v>
      </c>
      <c r="P18" t="n">
        <v>0</v>
      </c>
      <c r="Q18" t="s">
        <v>179</v>
      </c>
      <c r="R18" t="s">
        <v>180</v>
      </c>
      <c r="S18" t="s">
        <v>181</v>
      </c>
      <c r="T18" t="s">
        <v>145</v>
      </c>
      <c r="U18" t="s">
        <v>146</v>
      </c>
      <c r="V18" t="n">
        <v>2408003</v>
      </c>
      <c r="W18" t="s">
        <v>147</v>
      </c>
      <c r="X18" t="s">
        <v>148</v>
      </c>
      <c r="Y18" t="n">
        <v>26435</v>
      </c>
      <c r="Z18" t="s">
        <v>149</v>
      </c>
      <c r="AA18" t="s">
        <v>61</v>
      </c>
      <c r="AB18" t="s">
        <v>62</v>
      </c>
      <c r="AC18" s="1" t="n">
        <v>46044</v>
      </c>
      <c r="AD18" s="1" t="n">
        <v>46045</v>
      </c>
      <c r="AE18" s="1" t="n">
        <v>46045</v>
      </c>
      <c r="AF18" s="1" t="n">
        <v>46044</v>
      </c>
      <c r="AG18" s="1" t="n">
        <v>45986</v>
      </c>
      <c r="AH18" t="n">
        <v>8955</v>
      </c>
      <c r="AI18" t="s">
        <v>63</v>
      </c>
      <c r="AJ18" t="s">
        <v>182</v>
      </c>
      <c r="AK18" t="s">
        <v>65</v>
      </c>
      <c r="AL18" t="s">
        <v>151</v>
      </c>
      <c r="AM18" t="s">
        <v>67</v>
      </c>
      <c r="AN18" t="n">
        <v>13.22</v>
      </c>
      <c r="AO18" t="n">
        <v>16.9</v>
      </c>
      <c r="AP18" t="n">
        <v>3.68</v>
      </c>
      <c r="AQ18" t="n">
        <v>7.7</v>
      </c>
      <c r="AR18" t="n">
        <v>22.42</v>
      </c>
      <c r="AS18" t="s">
        <v>183</v>
      </c>
      <c r="AT18" t="s">
        <v>184</v>
      </c>
    </row>
    <row r="19">
      <c r="A19" t="s">
        <v>185</v>
      </c>
      <c r="B19" t="n">
        <v>10642907</v>
      </c>
      <c r="C19" t="s">
        <v>47</v>
      </c>
      <c r="D19" t="n">
        <v>5</v>
      </c>
      <c r="E19" t="s">
        <v>48</v>
      </c>
      <c r="F19" t="n">
        <v>2</v>
      </c>
      <c r="G19" t="s">
        <v>49</v>
      </c>
      <c r="H19" t="n">
        <v>606522</v>
      </c>
      <c r="I19"/>
      <c r="J19" t="s">
        <v>50</v>
      </c>
      <c r="K19" t="s">
        <v>51</v>
      </c>
      <c r="L19" t="s">
        <v>52</v>
      </c>
      <c r="M19" t="n">
        <v>250</v>
      </c>
      <c r="N19" t="n">
        <v>2000</v>
      </c>
      <c r="O19" t="n">
        <v>14.75</v>
      </c>
      <c r="P19" t="n">
        <v>0</v>
      </c>
      <c r="Q19" t="s">
        <v>186</v>
      </c>
      <c r="R19" t="s">
        <v>187</v>
      </c>
      <c r="S19" t="s">
        <v>188</v>
      </c>
      <c r="T19" t="s">
        <v>189</v>
      </c>
      <c r="U19" t="s">
        <v>190</v>
      </c>
      <c r="V19" t="n">
        <v>2111300</v>
      </c>
      <c r="W19" t="s">
        <v>191</v>
      </c>
      <c r="X19" t="s">
        <v>192</v>
      </c>
      <c r="Y19" t="n">
        <v>15000</v>
      </c>
      <c r="Z19" t="s">
        <v>193</v>
      </c>
      <c r="AA19" t="s">
        <v>194</v>
      </c>
      <c r="AB19" t="s">
        <v>62</v>
      </c>
      <c r="AC19" s="1" t="n">
        <v>46029</v>
      </c>
      <c r="AD19" s="1" t="n">
        <v>46030</v>
      </c>
      <c r="AE19" s="1" t="n">
        <v>46030</v>
      </c>
      <c r="AF19" s="1" t="n">
        <v>46029</v>
      </c>
      <c r="AG19" s="1" t="n">
        <v>45904</v>
      </c>
      <c r="AH19" t="n">
        <v>8955</v>
      </c>
      <c r="AI19" t="s">
        <v>63</v>
      </c>
      <c r="AJ19" t="s">
        <v>195</v>
      </c>
      <c r="AK19" t="s">
        <v>65</v>
      </c>
      <c r="AL19" t="s">
        <v>151</v>
      </c>
      <c r="AM19" t="s">
        <v>67</v>
      </c>
      <c r="AN19" t="n">
        <v>13.22</v>
      </c>
      <c r="AO19" t="n">
        <v>16.9</v>
      </c>
      <c r="AP19" t="n">
        <v>3.68</v>
      </c>
      <c r="AQ19" t="n">
        <v>7.7</v>
      </c>
      <c r="AR19" t="n">
        <v>22.42</v>
      </c>
      <c r="AS19" t="s">
        <v>68</v>
      </c>
      <c r="AT19"/>
    </row>
    <row r="20">
      <c r="A20" t="s">
        <v>185</v>
      </c>
      <c r="B20" t="n">
        <v>10642906</v>
      </c>
      <c r="C20" t="s">
        <v>47</v>
      </c>
      <c r="D20" t="n">
        <v>5</v>
      </c>
      <c r="E20" t="s">
        <v>48</v>
      </c>
      <c r="F20" t="n">
        <v>1</v>
      </c>
      <c r="G20" t="s">
        <v>49</v>
      </c>
      <c r="H20" t="n">
        <v>606522</v>
      </c>
      <c r="I20"/>
      <c r="J20" t="s">
        <v>50</v>
      </c>
      <c r="K20" t="s">
        <v>51</v>
      </c>
      <c r="L20" t="s">
        <v>52</v>
      </c>
      <c r="M20" t="n">
        <v>250</v>
      </c>
      <c r="N20" t="n">
        <v>6000</v>
      </c>
      <c r="O20" t="n">
        <v>14.5</v>
      </c>
      <c r="P20" t="n">
        <v>0</v>
      </c>
      <c r="Q20" t="s">
        <v>196</v>
      </c>
      <c r="R20" t="s">
        <v>197</v>
      </c>
      <c r="S20" t="s">
        <v>198</v>
      </c>
      <c r="T20" t="s">
        <v>189</v>
      </c>
      <c r="U20" t="s">
        <v>190</v>
      </c>
      <c r="V20" t="n">
        <v>2111300</v>
      </c>
      <c r="W20" t="s">
        <v>191</v>
      </c>
      <c r="X20" t="s">
        <v>192</v>
      </c>
      <c r="Y20" t="n">
        <v>15000</v>
      </c>
      <c r="Z20" t="s">
        <v>193</v>
      </c>
      <c r="AA20" t="s">
        <v>194</v>
      </c>
      <c r="AB20" t="s">
        <v>62</v>
      </c>
      <c r="AC20" s="1" t="n">
        <v>46029</v>
      </c>
      <c r="AD20" s="1" t="n">
        <v>46030</v>
      </c>
      <c r="AE20" s="1" t="n">
        <v>46030</v>
      </c>
      <c r="AF20" s="1" t="n">
        <v>46029</v>
      </c>
      <c r="AG20" s="1" t="n">
        <v>45904</v>
      </c>
      <c r="AH20" t="n">
        <v>8955</v>
      </c>
      <c r="AI20" t="s">
        <v>63</v>
      </c>
      <c r="AJ20" t="s">
        <v>195</v>
      </c>
      <c r="AK20" t="s">
        <v>65</v>
      </c>
      <c r="AL20" t="s">
        <v>151</v>
      </c>
      <c r="AM20" t="s">
        <v>67</v>
      </c>
      <c r="AN20" t="n">
        <v>13.22</v>
      </c>
      <c r="AO20" t="n">
        <v>16.9</v>
      </c>
      <c r="AP20" t="n">
        <v>3.68</v>
      </c>
      <c r="AQ20" t="n">
        <v>7.7</v>
      </c>
      <c r="AR20" t="n">
        <v>22.42</v>
      </c>
      <c r="AS20" t="s">
        <v>68</v>
      </c>
      <c r="AT20"/>
    </row>
    <row r="21">
      <c r="A21" t="s">
        <v>199</v>
      </c>
      <c r="B21" t="n">
        <v>10598370</v>
      </c>
      <c r="C21" t="s">
        <v>47</v>
      </c>
      <c r="D21" t="n">
        <v>5</v>
      </c>
      <c r="E21" t="s">
        <v>48</v>
      </c>
      <c r="F21" t="n">
        <v>189</v>
      </c>
      <c r="G21" t="s">
        <v>49</v>
      </c>
      <c r="H21" t="n">
        <v>606522</v>
      </c>
      <c r="I21"/>
      <c r="J21" t="s">
        <v>50</v>
      </c>
      <c r="K21" t="s">
        <v>51</v>
      </c>
      <c r="L21" t="s">
        <v>52</v>
      </c>
      <c r="M21" t="n">
        <v>500</v>
      </c>
      <c r="N21" t="n">
        <v>500</v>
      </c>
      <c r="O21" t="n">
        <v>22.95</v>
      </c>
      <c r="P21" t="n">
        <v>0</v>
      </c>
      <c r="Q21" t="s">
        <v>142</v>
      </c>
      <c r="R21" t="s">
        <v>143</v>
      </c>
      <c r="S21" t="s">
        <v>200</v>
      </c>
      <c r="T21" t="s">
        <v>201</v>
      </c>
      <c r="U21" t="s">
        <v>202</v>
      </c>
      <c r="V21" t="n">
        <v>3304557</v>
      </c>
      <c r="W21" t="s">
        <v>203</v>
      </c>
      <c r="X21" t="s">
        <v>80</v>
      </c>
      <c r="Y21" t="n">
        <v>36201</v>
      </c>
      <c r="Z21" t="s">
        <v>204</v>
      </c>
      <c r="AA21" t="s">
        <v>61</v>
      </c>
      <c r="AB21" t="s">
        <v>62</v>
      </c>
      <c r="AC21" s="1" t="n">
        <v>46020</v>
      </c>
      <c r="AD21" s="1" t="n">
        <v>46021</v>
      </c>
      <c r="AE21" s="1" t="n">
        <v>46021</v>
      </c>
      <c r="AF21" s="1" t="n">
        <v>46020</v>
      </c>
      <c r="AG21" s="1" t="n">
        <v>46083</v>
      </c>
      <c r="AH21" t="n">
        <v>8955</v>
      </c>
      <c r="AI21" t="s">
        <v>63</v>
      </c>
      <c r="AJ21" t="s">
        <v>205</v>
      </c>
      <c r="AK21" t="s">
        <v>65</v>
      </c>
      <c r="AL21" t="s">
        <v>84</v>
      </c>
      <c r="AM21" t="s">
        <v>85</v>
      </c>
      <c r="AN21" t="n">
        <v>20.95</v>
      </c>
      <c r="AO21" t="n">
        <v>30.7825</v>
      </c>
      <c r="AP21" t="n">
        <v>9.8325</v>
      </c>
      <c r="AQ21" t="n">
        <v>6.20125</v>
      </c>
      <c r="AR21" t="n">
        <v>45.53125</v>
      </c>
      <c r="AS21" t="s">
        <v>68</v>
      </c>
      <c r="AT21"/>
    </row>
    <row r="22">
      <c r="A22" t="s">
        <v>206</v>
      </c>
      <c r="B22" t="n">
        <v>10577150</v>
      </c>
      <c r="C22" t="s">
        <v>47</v>
      </c>
      <c r="D22" t="n">
        <v>5</v>
      </c>
      <c r="E22" t="s">
        <v>48</v>
      </c>
      <c r="F22" t="n">
        <v>4</v>
      </c>
      <c r="G22" t="s">
        <v>49</v>
      </c>
      <c r="H22" t="n">
        <v>606522</v>
      </c>
      <c r="I22"/>
      <c r="J22" t="s">
        <v>50</v>
      </c>
      <c r="K22" t="s">
        <v>51</v>
      </c>
      <c r="L22" t="s">
        <v>52</v>
      </c>
      <c r="M22" t="n">
        <v>250</v>
      </c>
      <c r="N22" t="n">
        <v>7720</v>
      </c>
      <c r="O22" t="n">
        <v>12</v>
      </c>
      <c r="P22" t="n">
        <v>0</v>
      </c>
      <c r="Q22" t="s">
        <v>207</v>
      </c>
      <c r="R22" t="s">
        <v>208</v>
      </c>
      <c r="S22" t="s">
        <v>67</v>
      </c>
      <c r="T22" t="s">
        <v>209</v>
      </c>
      <c r="U22" t="s">
        <v>210</v>
      </c>
      <c r="V22" t="n">
        <v>2927408</v>
      </c>
      <c r="W22" t="s">
        <v>211</v>
      </c>
      <c r="X22" t="s">
        <v>212</v>
      </c>
      <c r="Y22" t="n">
        <v>25000</v>
      </c>
      <c r="Z22" t="s">
        <v>213</v>
      </c>
      <c r="AA22" t="s">
        <v>61</v>
      </c>
      <c r="AB22" t="s">
        <v>62</v>
      </c>
      <c r="AC22" s="1" t="n">
        <v>46014</v>
      </c>
      <c r="AD22" s="1" t="n">
        <v>46015</v>
      </c>
      <c r="AE22" s="1" t="n">
        <v>46015</v>
      </c>
      <c r="AF22" s="1" t="n">
        <v>46014</v>
      </c>
      <c r="AG22" s="1" t="n">
        <v>46083</v>
      </c>
      <c r="AH22" t="n">
        <v>8955</v>
      </c>
      <c r="AI22" t="s">
        <v>63</v>
      </c>
      <c r="AJ22" t="s">
        <v>214</v>
      </c>
      <c r="AK22" t="s">
        <v>65</v>
      </c>
      <c r="AL22" t="s">
        <v>151</v>
      </c>
      <c r="AM22" t="s">
        <v>67</v>
      </c>
      <c r="AN22" t="n">
        <v>13.22</v>
      </c>
      <c r="AO22" t="n">
        <v>16.9</v>
      </c>
      <c r="AP22" t="n">
        <v>3.68</v>
      </c>
      <c r="AQ22" t="n">
        <v>7.7</v>
      </c>
      <c r="AR22" t="n">
        <v>22.42</v>
      </c>
      <c r="AS22" t="s">
        <v>68</v>
      </c>
      <c r="AT22"/>
    </row>
    <row r="23">
      <c r="A23" t="s">
        <v>215</v>
      </c>
      <c r="B23" t="n">
        <v>10546290</v>
      </c>
      <c r="C23" t="s">
        <v>47</v>
      </c>
      <c r="D23" t="n">
        <v>5</v>
      </c>
      <c r="E23" t="s">
        <v>48</v>
      </c>
      <c r="F23" t="n">
        <v>3</v>
      </c>
      <c r="G23" t="s">
        <v>49</v>
      </c>
      <c r="H23" t="n">
        <v>606522</v>
      </c>
      <c r="I23"/>
      <c r="J23" t="s">
        <v>50</v>
      </c>
      <c r="K23" t="s">
        <v>51</v>
      </c>
      <c r="L23" t="s">
        <v>52</v>
      </c>
      <c r="M23" t="n">
        <v>250</v>
      </c>
      <c r="N23" t="n">
        <v>3440</v>
      </c>
      <c r="O23" t="n">
        <v>15.05</v>
      </c>
      <c r="P23" t="n">
        <v>0</v>
      </c>
      <c r="Q23" t="s">
        <v>216</v>
      </c>
      <c r="R23" t="s">
        <v>217</v>
      </c>
      <c r="S23" t="s">
        <v>218</v>
      </c>
      <c r="T23" t="s">
        <v>219</v>
      </c>
      <c r="U23" t="s">
        <v>220</v>
      </c>
      <c r="V23" t="n">
        <v>2408102</v>
      </c>
      <c r="W23" t="s">
        <v>221</v>
      </c>
      <c r="X23" t="s">
        <v>148</v>
      </c>
      <c r="Y23" t="n">
        <v>30108</v>
      </c>
      <c r="Z23" t="s">
        <v>222</v>
      </c>
      <c r="AA23" t="s">
        <v>61</v>
      </c>
      <c r="AB23" t="s">
        <v>62</v>
      </c>
      <c r="AC23" s="1" t="n">
        <v>46013</v>
      </c>
      <c r="AD23" s="1" t="n">
        <v>46014</v>
      </c>
      <c r="AE23" s="1" t="n">
        <v>46014</v>
      </c>
      <c r="AF23" s="1" t="n">
        <v>46013</v>
      </c>
      <c r="AG23" s="1" t="n">
        <v>45650</v>
      </c>
      <c r="AH23" t="n">
        <v>8955</v>
      </c>
      <c r="AI23" t="s">
        <v>63</v>
      </c>
      <c r="AJ23" t="s">
        <v>223</v>
      </c>
      <c r="AK23" t="s">
        <v>65</v>
      </c>
      <c r="AL23" t="s">
        <v>151</v>
      </c>
      <c r="AM23" t="s">
        <v>67</v>
      </c>
      <c r="AN23" t="n">
        <v>13.22</v>
      </c>
      <c r="AO23" t="n">
        <v>16.9</v>
      </c>
      <c r="AP23" t="n">
        <v>3.68</v>
      </c>
      <c r="AQ23" t="n">
        <v>7.7</v>
      </c>
      <c r="AR23" t="n">
        <v>22.42</v>
      </c>
      <c r="AS23" t="s">
        <v>68</v>
      </c>
      <c r="AT23"/>
    </row>
    <row r="24">
      <c r="A24" t="s">
        <v>224</v>
      </c>
      <c r="B24" t="n">
        <v>10561476</v>
      </c>
      <c r="C24" t="s">
        <v>70</v>
      </c>
      <c r="D24" t="n">
        <v>6</v>
      </c>
      <c r="E24" t="s">
        <v>225</v>
      </c>
      <c r="F24" t="n">
        <v>22</v>
      </c>
      <c r="G24" t="s">
        <v>49</v>
      </c>
      <c r="H24" t="n">
        <v>606522</v>
      </c>
      <c r="I24"/>
      <c r="J24" t="s">
        <v>50</v>
      </c>
      <c r="K24" t="s">
        <v>51</v>
      </c>
      <c r="L24" t="s">
        <v>52</v>
      </c>
      <c r="M24" t="n">
        <v>500</v>
      </c>
      <c r="N24" t="n">
        <v>15</v>
      </c>
      <c r="O24" t="n">
        <v>33.24</v>
      </c>
      <c r="P24" t="n">
        <v>0</v>
      </c>
      <c r="Q24" t="s">
        <v>226</v>
      </c>
      <c r="R24" t="s">
        <v>227</v>
      </c>
      <c r="S24" t="s">
        <v>228</v>
      </c>
      <c r="T24" t="s">
        <v>156</v>
      </c>
      <c r="U24" t="s">
        <v>157</v>
      </c>
      <c r="V24" t="n">
        <v>1100205</v>
      </c>
      <c r="W24" t="s">
        <v>158</v>
      </c>
      <c r="X24" t="s">
        <v>159</v>
      </c>
      <c r="Y24" t="n">
        <v>26421</v>
      </c>
      <c r="Z24" t="s">
        <v>160</v>
      </c>
      <c r="AA24" t="s">
        <v>61</v>
      </c>
      <c r="AB24" t="s">
        <v>62</v>
      </c>
      <c r="AC24" s="1" t="n">
        <v>46012</v>
      </c>
      <c r="AD24" s="1" t="n">
        <v>46014</v>
      </c>
      <c r="AE24" s="1" t="n">
        <v>46014</v>
      </c>
      <c r="AF24" s="1" t="n">
        <v>46013</v>
      </c>
      <c r="AG24" s="1" t="n">
        <v>45880</v>
      </c>
      <c r="AH24" t="n">
        <v>8955</v>
      </c>
      <c r="AI24" t="s">
        <v>63</v>
      </c>
      <c r="AJ24" t="s">
        <v>229</v>
      </c>
      <c r="AK24" t="s">
        <v>230</v>
      </c>
      <c r="AL24" t="s">
        <v>66</v>
      </c>
      <c r="AM24" t="s">
        <v>85</v>
      </c>
      <c r="AN24" t="n">
        <v>20.95</v>
      </c>
      <c r="AO24" t="n">
        <v>30.7825</v>
      </c>
      <c r="AP24" t="n">
        <v>9.8325</v>
      </c>
      <c r="AQ24" t="n">
        <v>6.20125</v>
      </c>
      <c r="AR24" t="n">
        <v>45.53125</v>
      </c>
      <c r="AS24" t="s">
        <v>68</v>
      </c>
      <c r="AT24"/>
    </row>
    <row r="25">
      <c r="A25" t="s">
        <v>231</v>
      </c>
      <c r="B25" t="n">
        <v>10561043</v>
      </c>
      <c r="C25" t="s">
        <v>70</v>
      </c>
      <c r="D25" t="n">
        <v>6</v>
      </c>
      <c r="E25" t="s">
        <v>225</v>
      </c>
      <c r="F25" t="n">
        <v>1</v>
      </c>
      <c r="G25" t="s">
        <v>49</v>
      </c>
      <c r="H25" t="n">
        <v>606522</v>
      </c>
      <c r="I25"/>
      <c r="J25" t="s">
        <v>50</v>
      </c>
      <c r="K25" t="s">
        <v>72</v>
      </c>
      <c r="L25" t="s">
        <v>73</v>
      </c>
      <c r="M25" t="n">
        <v>500</v>
      </c>
      <c r="N25" t="n">
        <v>60</v>
      </c>
      <c r="O25" t="n">
        <v>29.16</v>
      </c>
      <c r="P25" t="n">
        <v>0</v>
      </c>
      <c r="Q25" t="s">
        <v>232</v>
      </c>
      <c r="R25" t="s">
        <v>233</v>
      </c>
      <c r="S25" t="s">
        <v>234</v>
      </c>
      <c r="T25" t="s">
        <v>235</v>
      </c>
      <c r="U25" t="s">
        <v>236</v>
      </c>
      <c r="V25" t="n">
        <v>3304557</v>
      </c>
      <c r="W25" t="s">
        <v>203</v>
      </c>
      <c r="X25" t="s">
        <v>80</v>
      </c>
      <c r="Y25" t="n">
        <v>38616</v>
      </c>
      <c r="Z25" t="s">
        <v>237</v>
      </c>
      <c r="AA25" t="s">
        <v>61</v>
      </c>
      <c r="AB25" t="s">
        <v>62</v>
      </c>
      <c r="AC25" s="1" t="n">
        <v>46012</v>
      </c>
      <c r="AD25" s="1" t="n">
        <v>46014</v>
      </c>
      <c r="AE25" s="1" t="n">
        <v>46014</v>
      </c>
      <c r="AF25" s="1" t="n">
        <v>46013</v>
      </c>
      <c r="AG25" s="1" t="n">
        <v>45352</v>
      </c>
      <c r="AH25" t="n">
        <v>8955</v>
      </c>
      <c r="AI25" t="s">
        <v>63</v>
      </c>
      <c r="AJ25" t="s">
        <v>238</v>
      </c>
      <c r="AK25" t="s">
        <v>230</v>
      </c>
      <c r="AL25" t="s">
        <v>84</v>
      </c>
      <c r="AM25" t="s">
        <v>85</v>
      </c>
      <c r="AN25" t="n">
        <v>20.95</v>
      </c>
      <c r="AO25" t="n">
        <v>30.7825</v>
      </c>
      <c r="AP25" t="n">
        <v>9.8325</v>
      </c>
      <c r="AQ25" t="n">
        <v>6.20125</v>
      </c>
      <c r="AR25" t="n">
        <v>45.53125</v>
      </c>
      <c r="AS25" t="s">
        <v>68</v>
      </c>
      <c r="AT25"/>
    </row>
    <row r="26">
      <c r="A26" t="s">
        <v>239</v>
      </c>
      <c r="B26" t="n">
        <v>10527011</v>
      </c>
      <c r="C26" t="s">
        <v>70</v>
      </c>
      <c r="D26" t="n">
        <v>5</v>
      </c>
      <c r="E26" t="s">
        <v>48</v>
      </c>
      <c r="F26" t="n">
        <v>6</v>
      </c>
      <c r="G26" t="s">
        <v>49</v>
      </c>
      <c r="H26" t="n">
        <v>606522</v>
      </c>
      <c r="I26"/>
      <c r="J26" t="s">
        <v>50</v>
      </c>
      <c r="K26" t="s">
        <v>51</v>
      </c>
      <c r="L26" t="s">
        <v>52</v>
      </c>
      <c r="M26" t="n">
        <v>500</v>
      </c>
      <c r="N26" t="n">
        <v>1140</v>
      </c>
      <c r="O26" t="n">
        <v>30</v>
      </c>
      <c r="P26" t="n">
        <v>0</v>
      </c>
      <c r="Q26" t="s">
        <v>240</v>
      </c>
      <c r="R26" t="s">
        <v>241</v>
      </c>
      <c r="S26" t="s">
        <v>242</v>
      </c>
      <c r="T26" t="s">
        <v>243</v>
      </c>
      <c r="U26" t="s">
        <v>244</v>
      </c>
      <c r="V26" t="n">
        <v>3304557</v>
      </c>
      <c r="W26" t="s">
        <v>203</v>
      </c>
      <c r="X26" t="s">
        <v>80</v>
      </c>
      <c r="Y26" t="n">
        <v>95322</v>
      </c>
      <c r="Z26" t="s">
        <v>244</v>
      </c>
      <c r="AA26" t="s">
        <v>61</v>
      </c>
      <c r="AB26" t="s">
        <v>61</v>
      </c>
      <c r="AC26" s="1" t="n">
        <v>46009</v>
      </c>
      <c r="AD26" s="1" t="n">
        <v>46010</v>
      </c>
      <c r="AE26" s="1" t="n">
        <v>46010</v>
      </c>
      <c r="AF26" s="1" t="n">
        <v>46009</v>
      </c>
      <c r="AG26" s="1" t="n">
        <v>44912</v>
      </c>
      <c r="AH26" t="n">
        <v>8955</v>
      </c>
      <c r="AI26" t="s">
        <v>63</v>
      </c>
      <c r="AJ26" t="s">
        <v>245</v>
      </c>
      <c r="AK26" t="s">
        <v>65</v>
      </c>
      <c r="AL26" t="s">
        <v>84</v>
      </c>
      <c r="AM26" t="s">
        <v>85</v>
      </c>
      <c r="AN26" t="n">
        <v>20.95</v>
      </c>
      <c r="AO26" t="n">
        <v>30.7825</v>
      </c>
      <c r="AP26" t="n">
        <v>9.8325</v>
      </c>
      <c r="AQ26" t="n">
        <v>6.20125</v>
      </c>
      <c r="AR26" t="n">
        <v>45.53125</v>
      </c>
      <c r="AS26" t="s">
        <v>68</v>
      </c>
      <c r="AT26"/>
    </row>
    <row r="27">
      <c r="A27" t="s">
        <v>246</v>
      </c>
      <c r="B27" t="n">
        <v>10524612</v>
      </c>
      <c r="C27" t="s">
        <v>47</v>
      </c>
      <c r="D27" t="n">
        <v>5</v>
      </c>
      <c r="E27" t="s">
        <v>48</v>
      </c>
      <c r="F27" t="n">
        <v>9</v>
      </c>
      <c r="G27" t="s">
        <v>49</v>
      </c>
      <c r="H27" t="n">
        <v>606522</v>
      </c>
      <c r="I27"/>
      <c r="J27"/>
      <c r="K27" t="s">
        <v>129</v>
      </c>
      <c r="L27" t="s">
        <v>130</v>
      </c>
      <c r="M27" t="n">
        <v>0</v>
      </c>
      <c r="N27" t="n">
        <v>3000</v>
      </c>
      <c r="O27" t="n">
        <v>13.9</v>
      </c>
      <c r="P27" t="n">
        <v>0</v>
      </c>
      <c r="Q27" t="s">
        <v>247</v>
      </c>
      <c r="R27" t="s">
        <v>248</v>
      </c>
      <c r="S27" t="s">
        <v>249</v>
      </c>
      <c r="T27" t="s">
        <v>250</v>
      </c>
      <c r="U27" t="s">
        <v>251</v>
      </c>
      <c r="V27" t="n">
        <v>3515509</v>
      </c>
      <c r="W27" t="s">
        <v>252</v>
      </c>
      <c r="X27" t="s">
        <v>253</v>
      </c>
      <c r="Y27" t="n">
        <v>95769</v>
      </c>
      <c r="Z27" t="s">
        <v>251</v>
      </c>
      <c r="AA27" t="s">
        <v>61</v>
      </c>
      <c r="AB27" t="s">
        <v>81</v>
      </c>
      <c r="AC27" s="1" t="n">
        <v>46009</v>
      </c>
      <c r="AD27" s="1" t="n">
        <v>46010</v>
      </c>
      <c r="AE27" s="1" t="n">
        <v>46010</v>
      </c>
      <c r="AF27" s="1" t="n">
        <v>46009</v>
      </c>
      <c r="AG27" s="1" t="n">
        <v>45381</v>
      </c>
      <c r="AH27" t="n">
        <v>8955</v>
      </c>
      <c r="AI27" t="s">
        <v>63</v>
      </c>
      <c r="AJ27" t="s">
        <v>254</v>
      </c>
      <c r="AK27" t="s">
        <v>65</v>
      </c>
      <c r="AL27" t="s">
        <v>84</v>
      </c>
      <c r="AM27" t="s">
        <v>140</v>
      </c>
      <c r="AN27" t="n">
        <v>14.3</v>
      </c>
      <c r="AO27" t="n">
        <v>26.28</v>
      </c>
      <c r="AP27" t="n">
        <v>11.98</v>
      </c>
      <c r="AQ27" t="n">
        <v>-3.67</v>
      </c>
      <c r="AR27" t="n">
        <v>44.25</v>
      </c>
      <c r="AS27" t="s">
        <v>68</v>
      </c>
      <c r="AT27"/>
    </row>
    <row r="28">
      <c r="A28" t="s">
        <v>246</v>
      </c>
      <c r="B28" t="n">
        <v>10524611</v>
      </c>
      <c r="C28" t="s">
        <v>47</v>
      </c>
      <c r="D28" t="n">
        <v>5</v>
      </c>
      <c r="E28" t="s">
        <v>48</v>
      </c>
      <c r="F28" t="n">
        <v>8</v>
      </c>
      <c r="G28" t="s">
        <v>49</v>
      </c>
      <c r="H28" t="n">
        <v>606522</v>
      </c>
      <c r="I28"/>
      <c r="J28"/>
      <c r="K28" t="s">
        <v>129</v>
      </c>
      <c r="L28" t="s">
        <v>130</v>
      </c>
      <c r="M28" t="n">
        <v>0</v>
      </c>
      <c r="N28" t="n">
        <v>3000</v>
      </c>
      <c r="O28" t="n">
        <v>14.9</v>
      </c>
      <c r="P28" t="n">
        <v>0</v>
      </c>
      <c r="Q28" t="s">
        <v>247</v>
      </c>
      <c r="R28" t="s">
        <v>248</v>
      </c>
      <c r="S28" t="s">
        <v>249</v>
      </c>
      <c r="T28" t="s">
        <v>250</v>
      </c>
      <c r="U28" t="s">
        <v>251</v>
      </c>
      <c r="V28" t="n">
        <v>3515509</v>
      </c>
      <c r="W28" t="s">
        <v>252</v>
      </c>
      <c r="X28" t="s">
        <v>253</v>
      </c>
      <c r="Y28" t="n">
        <v>95769</v>
      </c>
      <c r="Z28" t="s">
        <v>251</v>
      </c>
      <c r="AA28" t="s">
        <v>61</v>
      </c>
      <c r="AB28" t="s">
        <v>81</v>
      </c>
      <c r="AC28" s="1" t="n">
        <v>46009</v>
      </c>
      <c r="AD28" s="1" t="n">
        <v>46010</v>
      </c>
      <c r="AE28" s="1" t="n">
        <v>46010</v>
      </c>
      <c r="AF28" s="1" t="n">
        <v>46009</v>
      </c>
      <c r="AG28" s="1" t="n">
        <v>45381</v>
      </c>
      <c r="AH28" t="n">
        <v>8955</v>
      </c>
      <c r="AI28" t="s">
        <v>63</v>
      </c>
      <c r="AJ28" t="s">
        <v>254</v>
      </c>
      <c r="AK28" t="s">
        <v>65</v>
      </c>
      <c r="AL28" t="s">
        <v>84</v>
      </c>
      <c r="AM28" t="s">
        <v>140</v>
      </c>
      <c r="AN28" t="n">
        <v>14.3</v>
      </c>
      <c r="AO28" t="n">
        <v>26.28</v>
      </c>
      <c r="AP28" t="n">
        <v>11.98</v>
      </c>
      <c r="AQ28" t="n">
        <v>-3.67</v>
      </c>
      <c r="AR28" t="n">
        <v>44.25</v>
      </c>
      <c r="AS28" t="s">
        <v>68</v>
      </c>
      <c r="AT28"/>
    </row>
    <row r="29">
      <c r="A29" t="s">
        <v>255</v>
      </c>
      <c r="B29" t="n">
        <v>10503999</v>
      </c>
      <c r="C29" t="s">
        <v>47</v>
      </c>
      <c r="D29" t="n">
        <v>5</v>
      </c>
      <c r="E29" t="s">
        <v>48</v>
      </c>
      <c r="F29" t="n">
        <v>1</v>
      </c>
      <c r="G29" t="s">
        <v>49</v>
      </c>
      <c r="H29" t="n">
        <v>606522</v>
      </c>
      <c r="I29"/>
      <c r="J29" t="s">
        <v>50</v>
      </c>
      <c r="K29" t="s">
        <v>51</v>
      </c>
      <c r="L29" t="s">
        <v>52</v>
      </c>
      <c r="M29" t="n">
        <v>250</v>
      </c>
      <c r="N29" t="n">
        <v>45000</v>
      </c>
      <c r="O29" t="n">
        <v>15.89</v>
      </c>
      <c r="P29" t="n">
        <v>0</v>
      </c>
      <c r="Q29" t="s">
        <v>256</v>
      </c>
      <c r="R29" t="s">
        <v>257</v>
      </c>
      <c r="S29" t="s">
        <v>258</v>
      </c>
      <c r="T29" t="s">
        <v>259</v>
      </c>
      <c r="U29" t="s">
        <v>260</v>
      </c>
      <c r="V29" t="n">
        <v>2304400</v>
      </c>
      <c r="W29" t="s">
        <v>261</v>
      </c>
      <c r="X29" t="s">
        <v>262</v>
      </c>
      <c r="Y29" t="n">
        <v>94360</v>
      </c>
      <c r="Z29" t="s">
        <v>260</v>
      </c>
      <c r="AA29" t="s">
        <v>61</v>
      </c>
      <c r="AB29" t="s">
        <v>61</v>
      </c>
      <c r="AC29" s="1" t="n">
        <v>46008</v>
      </c>
      <c r="AD29" s="1" t="n">
        <v>46009</v>
      </c>
      <c r="AE29" s="1" t="n">
        <v>46009</v>
      </c>
      <c r="AF29" s="1" t="n">
        <v>46008</v>
      </c>
      <c r="AG29" s="1" t="n">
        <v>45396</v>
      </c>
      <c r="AH29" t="n">
        <v>8955</v>
      </c>
      <c r="AI29" t="s">
        <v>63</v>
      </c>
      <c r="AJ29" t="s">
        <v>263</v>
      </c>
      <c r="AK29" t="s">
        <v>65</v>
      </c>
      <c r="AL29" t="s">
        <v>151</v>
      </c>
      <c r="AM29" t="s">
        <v>67</v>
      </c>
      <c r="AN29" t="n">
        <v>13.22</v>
      </c>
      <c r="AO29" t="n">
        <v>16.9</v>
      </c>
      <c r="AP29" t="n">
        <v>3.68</v>
      </c>
      <c r="AQ29" t="n">
        <v>7.7</v>
      </c>
      <c r="AR29" t="n">
        <v>22.42</v>
      </c>
      <c r="AS29" t="s">
        <v>68</v>
      </c>
      <c r="AT29"/>
    </row>
    <row r="30">
      <c r="A30" t="s">
        <v>264</v>
      </c>
      <c r="B30" t="n">
        <v>10510790</v>
      </c>
      <c r="C30" t="s">
        <v>47</v>
      </c>
      <c r="D30" t="n">
        <v>5</v>
      </c>
      <c r="E30" t="s">
        <v>48</v>
      </c>
      <c r="F30" t="n">
        <v>33</v>
      </c>
      <c r="G30" t="s">
        <v>49</v>
      </c>
      <c r="H30" t="n">
        <v>606522</v>
      </c>
      <c r="I30"/>
      <c r="J30" t="s">
        <v>50</v>
      </c>
      <c r="K30" t="s">
        <v>51</v>
      </c>
      <c r="L30" t="s">
        <v>52</v>
      </c>
      <c r="M30" t="n">
        <v>500</v>
      </c>
      <c r="N30" t="n">
        <v>65</v>
      </c>
      <c r="O30" t="n">
        <v>30.71</v>
      </c>
      <c r="P30" t="n">
        <v>0</v>
      </c>
      <c r="Q30" t="s">
        <v>87</v>
      </c>
      <c r="R30" t="s">
        <v>88</v>
      </c>
      <c r="S30" t="s">
        <v>265</v>
      </c>
      <c r="T30" t="s">
        <v>266</v>
      </c>
      <c r="U30" t="s">
        <v>267</v>
      </c>
      <c r="V30" t="n">
        <v>5002704</v>
      </c>
      <c r="W30" t="s">
        <v>268</v>
      </c>
      <c r="X30" t="s">
        <v>269</v>
      </c>
      <c r="Y30" t="n">
        <v>26415</v>
      </c>
      <c r="Z30" t="s">
        <v>270</v>
      </c>
      <c r="AA30" t="s">
        <v>61</v>
      </c>
      <c r="AB30" t="s">
        <v>62</v>
      </c>
      <c r="AC30" s="1" t="n">
        <v>46008</v>
      </c>
      <c r="AD30" s="1" t="n">
        <v>46009</v>
      </c>
      <c r="AE30" s="1" t="n">
        <v>46009</v>
      </c>
      <c r="AF30" s="1" t="n">
        <v>46008</v>
      </c>
      <c r="AG30" s="1" t="n">
        <v>45390</v>
      </c>
      <c r="AH30" t="n">
        <v>8955</v>
      </c>
      <c r="AI30" t="s">
        <v>63</v>
      </c>
      <c r="AJ30" t="s">
        <v>271</v>
      </c>
      <c r="AK30" t="s">
        <v>65</v>
      </c>
      <c r="AL30" t="s">
        <v>272</v>
      </c>
      <c r="AM30" t="s">
        <v>85</v>
      </c>
      <c r="AN30" t="n">
        <v>20.95</v>
      </c>
      <c r="AO30" t="n">
        <v>30.7825</v>
      </c>
      <c r="AP30" t="n">
        <v>9.8325</v>
      </c>
      <c r="AQ30" t="n">
        <v>6.20125</v>
      </c>
      <c r="AR30" t="n">
        <v>45.53125</v>
      </c>
      <c r="AS30" t="s">
        <v>68</v>
      </c>
      <c r="AT30"/>
    </row>
    <row r="31">
      <c r="A31" t="s">
        <v>273</v>
      </c>
      <c r="B31" t="n">
        <v>9533746</v>
      </c>
      <c r="C31" t="s">
        <v>47</v>
      </c>
      <c r="D31" t="n">
        <v>5</v>
      </c>
      <c r="E31" t="s">
        <v>48</v>
      </c>
      <c r="F31" t="n">
        <v>25</v>
      </c>
      <c r="G31" t="s">
        <v>49</v>
      </c>
      <c r="H31" t="n">
        <v>606522</v>
      </c>
      <c r="I31"/>
      <c r="J31" t="s">
        <v>50</v>
      </c>
      <c r="K31" t="s">
        <v>51</v>
      </c>
      <c r="L31" t="s">
        <v>52</v>
      </c>
      <c r="M31" t="n">
        <v>250</v>
      </c>
      <c r="N31" t="n">
        <v>25010</v>
      </c>
      <c r="O31" t="n">
        <v>11.47</v>
      </c>
      <c r="P31" t="n">
        <v>0</v>
      </c>
      <c r="Q31" t="s">
        <v>274</v>
      </c>
      <c r="R31" t="s">
        <v>275</v>
      </c>
      <c r="S31" t="s">
        <v>276</v>
      </c>
      <c r="T31" t="s">
        <v>277</v>
      </c>
      <c r="U31" t="s">
        <v>278</v>
      </c>
      <c r="V31" t="n">
        <v>1400100</v>
      </c>
      <c r="W31" t="s">
        <v>58</v>
      </c>
      <c r="X31" t="s">
        <v>59</v>
      </c>
      <c r="Y31" t="n">
        <v>93664</v>
      </c>
      <c r="Z31" t="s">
        <v>278</v>
      </c>
      <c r="AA31" t="s">
        <v>61</v>
      </c>
      <c r="AB31" t="s">
        <v>81</v>
      </c>
      <c r="AC31" s="1" t="n">
        <v>46007</v>
      </c>
      <c r="AD31" s="1" t="n">
        <v>46008</v>
      </c>
      <c r="AE31" s="1" t="n">
        <v>46008</v>
      </c>
      <c r="AF31" s="1" t="n">
        <v>46007</v>
      </c>
      <c r="AG31" s="1" t="n">
        <v>45388</v>
      </c>
      <c r="AH31" t="n">
        <v>8955</v>
      </c>
      <c r="AI31" t="s">
        <v>63</v>
      </c>
      <c r="AJ31" t="s">
        <v>279</v>
      </c>
      <c r="AK31" t="s">
        <v>65</v>
      </c>
      <c r="AL31" t="s">
        <v>66</v>
      </c>
      <c r="AM31" t="s">
        <v>67</v>
      </c>
      <c r="AN31" t="n">
        <v>13.22</v>
      </c>
      <c r="AO31" t="n">
        <v>16.9</v>
      </c>
      <c r="AP31" t="n">
        <v>3.68</v>
      </c>
      <c r="AQ31" t="n">
        <v>7.7</v>
      </c>
      <c r="AR31" t="n">
        <v>22.42</v>
      </c>
      <c r="AS31" t="s">
        <v>68</v>
      </c>
      <c r="AT31"/>
    </row>
    <row r="32">
      <c r="A32" t="s">
        <v>280</v>
      </c>
      <c r="B32" t="n">
        <v>10500642</v>
      </c>
      <c r="C32" t="s">
        <v>70</v>
      </c>
      <c r="D32" t="n">
        <v>6</v>
      </c>
      <c r="E32" t="s">
        <v>225</v>
      </c>
      <c r="F32" t="n">
        <v>1</v>
      </c>
      <c r="G32" t="s">
        <v>49</v>
      </c>
      <c r="H32" t="n">
        <v>606522</v>
      </c>
      <c r="I32"/>
      <c r="J32" t="s">
        <v>50</v>
      </c>
      <c r="K32" t="s">
        <v>51</v>
      </c>
      <c r="L32" t="s">
        <v>52</v>
      </c>
      <c r="M32" t="n">
        <v>500</v>
      </c>
      <c r="N32" t="n">
        <v>240</v>
      </c>
      <c r="O32" t="n">
        <v>23.75</v>
      </c>
      <c r="P32" t="n">
        <v>0</v>
      </c>
      <c r="Q32" t="s">
        <v>281</v>
      </c>
      <c r="R32" t="s">
        <v>282</v>
      </c>
      <c r="S32" t="s">
        <v>283</v>
      </c>
      <c r="T32" t="s">
        <v>284</v>
      </c>
      <c r="U32" t="s">
        <v>285</v>
      </c>
      <c r="V32" t="n">
        <v>3548906</v>
      </c>
      <c r="W32" t="s">
        <v>286</v>
      </c>
      <c r="X32" t="s">
        <v>253</v>
      </c>
      <c r="Y32" t="n">
        <v>85510</v>
      </c>
      <c r="Z32" t="s">
        <v>285</v>
      </c>
      <c r="AA32" t="s">
        <v>61</v>
      </c>
      <c r="AB32" t="s">
        <v>81</v>
      </c>
      <c r="AC32" s="1" t="n">
        <v>46006</v>
      </c>
      <c r="AD32" s="1" t="n">
        <v>46008</v>
      </c>
      <c r="AE32" s="1" t="n">
        <v>46008</v>
      </c>
      <c r="AF32" s="1" t="n">
        <v>46007</v>
      </c>
      <c r="AG32" s="1" t="n">
        <v>46092</v>
      </c>
      <c r="AH32" t="n">
        <v>8955</v>
      </c>
      <c r="AI32" t="s">
        <v>63</v>
      </c>
      <c r="AJ32" t="s">
        <v>287</v>
      </c>
      <c r="AK32" t="s">
        <v>230</v>
      </c>
      <c r="AL32" t="s">
        <v>84</v>
      </c>
      <c r="AM32" t="s">
        <v>85</v>
      </c>
      <c r="AN32" t="n">
        <v>20.95</v>
      </c>
      <c r="AO32" t="n">
        <v>30.7825</v>
      </c>
      <c r="AP32" t="n">
        <v>9.8325</v>
      </c>
      <c r="AQ32" t="n">
        <v>6.20125</v>
      </c>
      <c r="AR32" t="n">
        <v>45.53125</v>
      </c>
      <c r="AS32" t="s">
        <v>68</v>
      </c>
      <c r="AT32"/>
    </row>
    <row r="33">
      <c r="A33" t="s">
        <v>288</v>
      </c>
      <c r="B33" t="n">
        <v>7852512</v>
      </c>
      <c r="C33" t="s">
        <v>47</v>
      </c>
      <c r="D33" t="n">
        <v>5</v>
      </c>
      <c r="E33" t="s">
        <v>48</v>
      </c>
      <c r="F33" t="n">
        <v>35</v>
      </c>
      <c r="G33" t="s">
        <v>49</v>
      </c>
      <c r="H33" t="n">
        <v>606522</v>
      </c>
      <c r="I33"/>
      <c r="J33"/>
      <c r="K33" t="s">
        <v>129</v>
      </c>
      <c r="L33" t="s">
        <v>130</v>
      </c>
      <c r="M33" t="n">
        <v>0</v>
      </c>
      <c r="N33" t="n">
        <v>7220</v>
      </c>
      <c r="O33" t="n">
        <v>18</v>
      </c>
      <c r="P33" t="n">
        <v>0</v>
      </c>
      <c r="Q33" t="s">
        <v>289</v>
      </c>
      <c r="R33" t="s">
        <v>290</v>
      </c>
      <c r="S33" t="s">
        <v>291</v>
      </c>
      <c r="T33" t="s">
        <v>292</v>
      </c>
      <c r="U33" t="s">
        <v>293</v>
      </c>
      <c r="V33" t="n">
        <v>5210406</v>
      </c>
      <c r="W33" t="s">
        <v>294</v>
      </c>
      <c r="X33" t="s">
        <v>295</v>
      </c>
      <c r="Y33" t="n">
        <v>97519</v>
      </c>
      <c r="Z33" t="s">
        <v>293</v>
      </c>
      <c r="AA33" t="s">
        <v>61</v>
      </c>
      <c r="AB33" t="s">
        <v>81</v>
      </c>
      <c r="AC33" s="1" t="n">
        <v>46006</v>
      </c>
      <c r="AD33" s="1" t="n">
        <v>46007</v>
      </c>
      <c r="AE33" s="1" t="n">
        <v>46007</v>
      </c>
      <c r="AF33" s="1" t="n">
        <v>46006</v>
      </c>
      <c r="AG33" s="1" t="n">
        <v>45396</v>
      </c>
      <c r="AH33" t="n">
        <v>8955</v>
      </c>
      <c r="AI33" t="s">
        <v>63</v>
      </c>
      <c r="AJ33" t="s">
        <v>296</v>
      </c>
      <c r="AK33" t="s">
        <v>65</v>
      </c>
      <c r="AL33" t="s">
        <v>272</v>
      </c>
      <c r="AM33" t="s">
        <v>140</v>
      </c>
      <c r="AN33" t="n">
        <v>14.3</v>
      </c>
      <c r="AO33" t="n">
        <v>26.28</v>
      </c>
      <c r="AP33" t="n">
        <v>11.98</v>
      </c>
      <c r="AQ33" t="n">
        <v>-3.67</v>
      </c>
      <c r="AR33" t="n">
        <v>44.25</v>
      </c>
      <c r="AS33" t="s">
        <v>68</v>
      </c>
      <c r="AT33"/>
    </row>
    <row r="34">
      <c r="A34" t="s">
        <v>297</v>
      </c>
      <c r="B34" t="n">
        <v>10484663</v>
      </c>
      <c r="C34" t="s">
        <v>70</v>
      </c>
      <c r="D34" t="n">
        <v>6</v>
      </c>
      <c r="E34" t="s">
        <v>71</v>
      </c>
      <c r="F34" t="n">
        <v>1</v>
      </c>
      <c r="G34" t="s">
        <v>49</v>
      </c>
      <c r="H34" t="n">
        <v>606522</v>
      </c>
      <c r="I34"/>
      <c r="J34" t="s">
        <v>50</v>
      </c>
      <c r="K34" t="s">
        <v>51</v>
      </c>
      <c r="L34" t="s">
        <v>52</v>
      </c>
      <c r="M34" t="n">
        <v>500</v>
      </c>
      <c r="N34" t="n">
        <v>250</v>
      </c>
      <c r="O34" t="n">
        <v>24.97</v>
      </c>
      <c r="P34" t="n">
        <v>0</v>
      </c>
      <c r="Q34" t="s">
        <v>298</v>
      </c>
      <c r="R34" t="s">
        <v>299</v>
      </c>
      <c r="S34" t="s">
        <v>300</v>
      </c>
      <c r="T34" t="s">
        <v>301</v>
      </c>
      <c r="U34" t="s">
        <v>302</v>
      </c>
      <c r="V34" t="n">
        <v>5208707</v>
      </c>
      <c r="W34" t="s">
        <v>303</v>
      </c>
      <c r="X34" t="s">
        <v>295</v>
      </c>
      <c r="Y34" t="n">
        <v>38920</v>
      </c>
      <c r="Z34" t="s">
        <v>304</v>
      </c>
      <c r="AA34" t="s">
        <v>61</v>
      </c>
      <c r="AB34" t="s">
        <v>62</v>
      </c>
      <c r="AC34" s="1" t="n">
        <v>45999</v>
      </c>
      <c r="AD34" s="1" t="n">
        <v>46007</v>
      </c>
      <c r="AE34" s="1" t="n">
        <v>46007</v>
      </c>
      <c r="AF34" s="1" t="n">
        <v>46006</v>
      </c>
      <c r="AG34" s="1" t="n">
        <v>45008</v>
      </c>
      <c r="AH34" t="n">
        <v>8955</v>
      </c>
      <c r="AI34" t="s">
        <v>63</v>
      </c>
      <c r="AJ34" t="s">
        <v>305</v>
      </c>
      <c r="AK34" t="s">
        <v>306</v>
      </c>
      <c r="AL34" t="s">
        <v>272</v>
      </c>
      <c r="AM34" t="s">
        <v>85</v>
      </c>
      <c r="AN34" t="n">
        <v>20.95</v>
      </c>
      <c r="AO34" t="n">
        <v>30.7825</v>
      </c>
      <c r="AP34" t="n">
        <v>9.8325</v>
      </c>
      <c r="AQ34" t="n">
        <v>6.20125</v>
      </c>
      <c r="AR34" t="n">
        <v>45.53125</v>
      </c>
      <c r="AS34" t="s">
        <v>68</v>
      </c>
      <c r="AT34"/>
    </row>
    <row r="35">
      <c r="A35" t="s">
        <v>288</v>
      </c>
      <c r="B35" t="n">
        <v>7852513</v>
      </c>
      <c r="C35" t="s">
        <v>47</v>
      </c>
      <c r="D35" t="n">
        <v>5</v>
      </c>
      <c r="E35" t="s">
        <v>48</v>
      </c>
      <c r="F35" t="n">
        <v>36</v>
      </c>
      <c r="G35" t="s">
        <v>49</v>
      </c>
      <c r="H35" t="n">
        <v>606522</v>
      </c>
      <c r="I35"/>
      <c r="J35"/>
      <c r="K35" t="s">
        <v>129</v>
      </c>
      <c r="L35" t="s">
        <v>130</v>
      </c>
      <c r="M35" t="n">
        <v>0</v>
      </c>
      <c r="N35" t="n">
        <v>1280</v>
      </c>
      <c r="O35" t="n">
        <v>19.47</v>
      </c>
      <c r="P35" t="n">
        <v>0</v>
      </c>
      <c r="Q35" t="s">
        <v>289</v>
      </c>
      <c r="R35" t="s">
        <v>290</v>
      </c>
      <c r="S35" t="s">
        <v>291</v>
      </c>
      <c r="T35" t="s">
        <v>292</v>
      </c>
      <c r="U35" t="s">
        <v>293</v>
      </c>
      <c r="V35" t="n">
        <v>5210406</v>
      </c>
      <c r="W35" t="s">
        <v>294</v>
      </c>
      <c r="X35" t="s">
        <v>295</v>
      </c>
      <c r="Y35" t="n">
        <v>97519</v>
      </c>
      <c r="Z35" t="s">
        <v>293</v>
      </c>
      <c r="AA35" t="s">
        <v>61</v>
      </c>
      <c r="AB35" t="s">
        <v>81</v>
      </c>
      <c r="AC35" s="1" t="n">
        <v>46006</v>
      </c>
      <c r="AD35" s="1" t="n">
        <v>46007</v>
      </c>
      <c r="AE35" s="1" t="n">
        <v>46007</v>
      </c>
      <c r="AF35" s="1" t="n">
        <v>46006</v>
      </c>
      <c r="AG35" s="1" t="n">
        <v>45396</v>
      </c>
      <c r="AH35" t="n">
        <v>8955</v>
      </c>
      <c r="AI35" t="s">
        <v>63</v>
      </c>
      <c r="AJ35" t="s">
        <v>296</v>
      </c>
      <c r="AK35" t="s">
        <v>65</v>
      </c>
      <c r="AL35" t="s">
        <v>272</v>
      </c>
      <c r="AM35" t="s">
        <v>140</v>
      </c>
      <c r="AN35" t="n">
        <v>14.3</v>
      </c>
      <c r="AO35" t="n">
        <v>26.28</v>
      </c>
      <c r="AP35" t="n">
        <v>11.98</v>
      </c>
      <c r="AQ35" t="n">
        <v>-3.67</v>
      </c>
      <c r="AR35" t="n">
        <v>44.25</v>
      </c>
      <c r="AS35" t="s">
        <v>68</v>
      </c>
      <c r="AT35"/>
    </row>
    <row r="36">
      <c r="A36" t="s">
        <v>307</v>
      </c>
      <c r="B36" t="n">
        <v>10468554</v>
      </c>
      <c r="C36" t="s">
        <v>70</v>
      </c>
      <c r="D36" t="n">
        <v>6</v>
      </c>
      <c r="E36" t="s">
        <v>71</v>
      </c>
      <c r="F36" t="n">
        <v>1</v>
      </c>
      <c r="G36" t="s">
        <v>49</v>
      </c>
      <c r="H36" t="n">
        <v>606522</v>
      </c>
      <c r="I36"/>
      <c r="J36" t="s">
        <v>50</v>
      </c>
      <c r="K36" t="s">
        <v>51</v>
      </c>
      <c r="L36" t="s">
        <v>52</v>
      </c>
      <c r="M36" t="n">
        <v>500</v>
      </c>
      <c r="N36" t="n">
        <v>264</v>
      </c>
      <c r="O36" t="n">
        <v>21.37</v>
      </c>
      <c r="P36" t="n">
        <v>0</v>
      </c>
      <c r="Q36" t="s">
        <v>95</v>
      </c>
      <c r="R36" t="s">
        <v>96</v>
      </c>
      <c r="S36" t="s">
        <v>308</v>
      </c>
      <c r="T36" t="s">
        <v>309</v>
      </c>
      <c r="U36" t="s">
        <v>310</v>
      </c>
      <c r="V36" t="n">
        <v>5300108</v>
      </c>
      <c r="W36" t="s">
        <v>311</v>
      </c>
      <c r="X36" t="s">
        <v>312</v>
      </c>
      <c r="Y36" t="n">
        <v>39250</v>
      </c>
      <c r="Z36" t="s">
        <v>310</v>
      </c>
      <c r="AA36" t="s">
        <v>61</v>
      </c>
      <c r="AB36" t="s">
        <v>62</v>
      </c>
      <c r="AC36" s="1" t="n">
        <v>45978</v>
      </c>
      <c r="AD36" s="1" t="n">
        <v>46004</v>
      </c>
      <c r="AE36" s="1" t="n">
        <v>46004</v>
      </c>
      <c r="AF36" s="1" t="n">
        <v>46003</v>
      </c>
      <c r="AG36" s="1" t="n">
        <v>46062</v>
      </c>
      <c r="AH36" t="n">
        <v>8955</v>
      </c>
      <c r="AI36" t="s">
        <v>63</v>
      </c>
      <c r="AJ36" t="s">
        <v>313</v>
      </c>
      <c r="AK36" t="s">
        <v>314</v>
      </c>
      <c r="AL36" t="s">
        <v>272</v>
      </c>
      <c r="AM36" t="s">
        <v>85</v>
      </c>
      <c r="AN36" t="n">
        <v>20.95</v>
      </c>
      <c r="AO36" t="n">
        <v>30.7825</v>
      </c>
      <c r="AP36" t="n">
        <v>9.8325</v>
      </c>
      <c r="AQ36" t="n">
        <v>6.20125</v>
      </c>
      <c r="AR36" t="n">
        <v>45.53125</v>
      </c>
      <c r="AS36" t="s">
        <v>68</v>
      </c>
      <c r="AT36"/>
    </row>
    <row r="37">
      <c r="A37" t="s">
        <v>315</v>
      </c>
      <c r="B37" t="n">
        <v>10451387</v>
      </c>
      <c r="C37" t="s">
        <v>70</v>
      </c>
      <c r="D37" t="n">
        <v>6</v>
      </c>
      <c r="E37" t="s">
        <v>71</v>
      </c>
      <c r="F37" t="n">
        <v>1</v>
      </c>
      <c r="G37" t="s">
        <v>49</v>
      </c>
      <c r="H37" t="n">
        <v>606522</v>
      </c>
      <c r="I37"/>
      <c r="J37" t="s">
        <v>50</v>
      </c>
      <c r="K37" t="s">
        <v>51</v>
      </c>
      <c r="L37" t="s">
        <v>52</v>
      </c>
      <c r="M37" t="n">
        <v>250</v>
      </c>
      <c r="N37" t="n">
        <v>3400</v>
      </c>
      <c r="O37" t="n">
        <v>13.76</v>
      </c>
      <c r="P37" t="n">
        <v>0</v>
      </c>
      <c r="Q37" t="s">
        <v>316</v>
      </c>
      <c r="R37" t="s">
        <v>317</v>
      </c>
      <c r="S37" t="s">
        <v>318</v>
      </c>
      <c r="T37" t="s">
        <v>319</v>
      </c>
      <c r="U37" t="s">
        <v>320</v>
      </c>
      <c r="V37" t="n">
        <v>2111300</v>
      </c>
      <c r="W37" t="s">
        <v>191</v>
      </c>
      <c r="X37" t="s">
        <v>192</v>
      </c>
      <c r="Y37" t="n">
        <v>30802</v>
      </c>
      <c r="Z37" t="s">
        <v>321</v>
      </c>
      <c r="AA37" t="s">
        <v>61</v>
      </c>
      <c r="AB37" t="s">
        <v>62</v>
      </c>
      <c r="AC37" s="1" t="n">
        <v>45992</v>
      </c>
      <c r="AD37" s="1" t="n">
        <v>46003</v>
      </c>
      <c r="AE37" s="1" t="n">
        <v>46003</v>
      </c>
      <c r="AF37" s="1" t="n">
        <v>46002</v>
      </c>
      <c r="AG37" s="1" t="n">
        <v>46055</v>
      </c>
      <c r="AH37" t="n">
        <v>8955</v>
      </c>
      <c r="AI37" t="s">
        <v>63</v>
      </c>
      <c r="AJ37" t="s">
        <v>322</v>
      </c>
      <c r="AK37" t="s">
        <v>323</v>
      </c>
      <c r="AL37" t="s">
        <v>151</v>
      </c>
      <c r="AM37" t="s">
        <v>67</v>
      </c>
      <c r="AN37" t="n">
        <v>13.22</v>
      </c>
      <c r="AO37" t="n">
        <v>16.9</v>
      </c>
      <c r="AP37" t="n">
        <v>3.68</v>
      </c>
      <c r="AQ37" t="n">
        <v>7.7</v>
      </c>
      <c r="AR37" t="n">
        <v>22.42</v>
      </c>
      <c r="AS37" t="s">
        <v>68</v>
      </c>
      <c r="AT37"/>
    </row>
    <row r="38">
      <c r="A38" t="s">
        <v>324</v>
      </c>
      <c r="B38" t="n">
        <v>10414731</v>
      </c>
      <c r="C38" t="s">
        <v>47</v>
      </c>
      <c r="D38" t="n">
        <v>5</v>
      </c>
      <c r="E38" t="s">
        <v>48</v>
      </c>
      <c r="F38" t="n">
        <v>1</v>
      </c>
      <c r="G38" t="s">
        <v>49</v>
      </c>
      <c r="H38" t="n">
        <v>606522</v>
      </c>
      <c r="I38"/>
      <c r="J38" t="s">
        <v>50</v>
      </c>
      <c r="K38" t="s">
        <v>51</v>
      </c>
      <c r="L38" t="s">
        <v>52</v>
      </c>
      <c r="M38" t="n">
        <v>500</v>
      </c>
      <c r="N38" t="n">
        <v>975</v>
      </c>
      <c r="O38" t="n">
        <v>20.3</v>
      </c>
      <c r="P38" t="n">
        <v>0</v>
      </c>
      <c r="Q38" t="s">
        <v>325</v>
      </c>
      <c r="R38" t="s">
        <v>326</v>
      </c>
      <c r="S38" t="s">
        <v>327</v>
      </c>
      <c r="T38" t="s">
        <v>328</v>
      </c>
      <c r="U38" t="s">
        <v>329</v>
      </c>
      <c r="V38" t="n">
        <v>3529005</v>
      </c>
      <c r="W38" t="s">
        <v>330</v>
      </c>
      <c r="X38" t="s">
        <v>253</v>
      </c>
      <c r="Y38" t="n">
        <v>86911</v>
      </c>
      <c r="Z38" t="s">
        <v>329</v>
      </c>
      <c r="AA38" t="s">
        <v>61</v>
      </c>
      <c r="AB38" t="s">
        <v>81</v>
      </c>
      <c r="AC38" s="1" t="n">
        <v>46000</v>
      </c>
      <c r="AD38" s="1" t="n">
        <v>46001</v>
      </c>
      <c r="AE38" s="1" t="n">
        <v>46001</v>
      </c>
      <c r="AF38" s="1" t="n">
        <v>46000</v>
      </c>
      <c r="AG38" s="1" t="n">
        <v>45819</v>
      </c>
      <c r="AH38" t="n">
        <v>8955</v>
      </c>
      <c r="AI38" t="s">
        <v>63</v>
      </c>
      <c r="AJ38" t="s">
        <v>331</v>
      </c>
      <c r="AK38" t="s">
        <v>65</v>
      </c>
      <c r="AL38" t="s">
        <v>84</v>
      </c>
      <c r="AM38" t="s">
        <v>85</v>
      </c>
      <c r="AN38" t="n">
        <v>20.95</v>
      </c>
      <c r="AO38" t="n">
        <v>30.7825</v>
      </c>
      <c r="AP38" t="n">
        <v>9.8325</v>
      </c>
      <c r="AQ38" t="n">
        <v>6.20125</v>
      </c>
      <c r="AR38" t="n">
        <v>45.53125</v>
      </c>
      <c r="AS38" t="s">
        <v>68</v>
      </c>
      <c r="AT38"/>
    </row>
    <row r="39">
      <c r="A39" t="s">
        <v>332</v>
      </c>
      <c r="B39" t="n">
        <v>10385999</v>
      </c>
      <c r="C39" t="s">
        <v>47</v>
      </c>
      <c r="D39" t="n">
        <v>5</v>
      </c>
      <c r="E39" t="s">
        <v>48</v>
      </c>
      <c r="F39" t="n">
        <v>1</v>
      </c>
      <c r="G39" t="s">
        <v>49</v>
      </c>
      <c r="H39" t="n">
        <v>606522</v>
      </c>
      <c r="I39"/>
      <c r="J39" t="s">
        <v>50</v>
      </c>
      <c r="K39" t="s">
        <v>51</v>
      </c>
      <c r="L39" t="s">
        <v>52</v>
      </c>
      <c r="M39" t="n">
        <v>250</v>
      </c>
      <c r="N39" t="n">
        <v>2000</v>
      </c>
      <c r="O39" t="n">
        <v>17.88</v>
      </c>
      <c r="P39" t="n">
        <v>0</v>
      </c>
      <c r="Q39" t="s">
        <v>333</v>
      </c>
      <c r="R39" t="s">
        <v>334</v>
      </c>
      <c r="S39" t="s">
        <v>335</v>
      </c>
      <c r="T39" t="s">
        <v>336</v>
      </c>
      <c r="U39" t="s">
        <v>337</v>
      </c>
      <c r="V39" t="n">
        <v>2304400</v>
      </c>
      <c r="W39" t="s">
        <v>261</v>
      </c>
      <c r="X39" t="s">
        <v>262</v>
      </c>
      <c r="Y39" t="n">
        <v>36000</v>
      </c>
      <c r="Z39" t="s">
        <v>338</v>
      </c>
      <c r="AA39" t="s">
        <v>61</v>
      </c>
      <c r="AB39" t="s">
        <v>62</v>
      </c>
      <c r="AC39" s="1" t="n">
        <v>45996</v>
      </c>
      <c r="AD39" s="1" t="n">
        <v>45997</v>
      </c>
      <c r="AE39" s="1" t="n">
        <v>45997</v>
      </c>
      <c r="AF39" s="1" t="n">
        <v>45996</v>
      </c>
      <c r="AG39" s="1" t="n">
        <v>45337</v>
      </c>
      <c r="AH39" t="n">
        <v>8955</v>
      </c>
      <c r="AI39" t="s">
        <v>63</v>
      </c>
      <c r="AJ39" t="s">
        <v>339</v>
      </c>
      <c r="AK39" t="s">
        <v>65</v>
      </c>
      <c r="AL39" t="s">
        <v>151</v>
      </c>
      <c r="AM39" t="s">
        <v>67</v>
      </c>
      <c r="AN39" t="n">
        <v>13.22</v>
      </c>
      <c r="AO39" t="n">
        <v>16.9</v>
      </c>
      <c r="AP39" t="n">
        <v>3.68</v>
      </c>
      <c r="AQ39" t="n">
        <v>7.7</v>
      </c>
      <c r="AR39" t="n">
        <v>22.42</v>
      </c>
      <c r="AS39" t="s">
        <v>68</v>
      </c>
      <c r="AT39"/>
    </row>
    <row r="40">
      <c r="A40" t="s">
        <v>340</v>
      </c>
      <c r="B40" t="n">
        <v>10234340</v>
      </c>
      <c r="C40" t="s">
        <v>70</v>
      </c>
      <c r="D40" t="n">
        <v>6</v>
      </c>
      <c r="E40" t="s">
        <v>71</v>
      </c>
      <c r="F40" t="n">
        <v>1</v>
      </c>
      <c r="G40" t="s">
        <v>49</v>
      </c>
      <c r="H40" t="n">
        <v>606522</v>
      </c>
      <c r="I40"/>
      <c r="J40" t="s">
        <v>50</v>
      </c>
      <c r="K40" t="s">
        <v>51</v>
      </c>
      <c r="L40" t="s">
        <v>52</v>
      </c>
      <c r="M40" t="n">
        <v>250</v>
      </c>
      <c r="N40" t="n">
        <v>1500</v>
      </c>
      <c r="O40" t="n">
        <v>16.9</v>
      </c>
      <c r="P40" t="n">
        <v>0</v>
      </c>
      <c r="Q40" t="s">
        <v>341</v>
      </c>
      <c r="R40" t="s">
        <v>342</v>
      </c>
      <c r="S40" t="s">
        <v>343</v>
      </c>
      <c r="T40" t="s">
        <v>344</v>
      </c>
      <c r="U40" t="s">
        <v>345</v>
      </c>
      <c r="V40" t="n">
        <v>2704302</v>
      </c>
      <c r="W40" t="s">
        <v>346</v>
      </c>
      <c r="X40" t="s">
        <v>347</v>
      </c>
      <c r="Y40" t="n">
        <v>36000</v>
      </c>
      <c r="Z40" t="s">
        <v>338</v>
      </c>
      <c r="AA40" t="s">
        <v>61</v>
      </c>
      <c r="AB40" t="s">
        <v>62</v>
      </c>
      <c r="AC40" s="1" t="n">
        <v>45960</v>
      </c>
      <c r="AD40" s="1" t="n">
        <v>45993</v>
      </c>
      <c r="AE40" s="1" t="n">
        <v>45983</v>
      </c>
      <c r="AF40" s="1" t="n">
        <v>45982</v>
      </c>
      <c r="AG40" s="1" t="n">
        <v>45113</v>
      </c>
      <c r="AH40" t="n">
        <v>8955</v>
      </c>
      <c r="AI40" t="s">
        <v>63</v>
      </c>
      <c r="AJ40" t="s">
        <v>348</v>
      </c>
      <c r="AK40" t="s">
        <v>83</v>
      </c>
      <c r="AL40" t="s">
        <v>151</v>
      </c>
      <c r="AM40" t="s">
        <v>67</v>
      </c>
      <c r="AN40" t="n">
        <v>13.22</v>
      </c>
      <c r="AO40" t="n">
        <v>16.9</v>
      </c>
      <c r="AP40" t="n">
        <v>3.68</v>
      </c>
      <c r="AQ40" t="n">
        <v>7.7</v>
      </c>
      <c r="AR40" t="n">
        <v>22.42</v>
      </c>
      <c r="AS40" t="s">
        <v>68</v>
      </c>
      <c r="AT40"/>
    </row>
    <row r="41">
      <c r="A41" t="s">
        <v>349</v>
      </c>
      <c r="B41" t="n">
        <v>10227754</v>
      </c>
      <c r="C41" t="s">
        <v>70</v>
      </c>
      <c r="D41" t="n">
        <v>6</v>
      </c>
      <c r="E41" t="s">
        <v>71</v>
      </c>
      <c r="F41" t="n">
        <v>1</v>
      </c>
      <c r="G41" t="s">
        <v>49</v>
      </c>
      <c r="H41" t="n">
        <v>606522</v>
      </c>
      <c r="I41"/>
      <c r="J41" t="s">
        <v>50</v>
      </c>
      <c r="K41" t="s">
        <v>51</v>
      </c>
      <c r="L41" t="s">
        <v>52</v>
      </c>
      <c r="M41" t="n">
        <v>250</v>
      </c>
      <c r="N41" t="n">
        <v>500</v>
      </c>
      <c r="O41" t="n">
        <v>13.23</v>
      </c>
      <c r="P41" t="n">
        <v>0</v>
      </c>
      <c r="Q41" t="s">
        <v>350</v>
      </c>
      <c r="R41" t="s">
        <v>351</v>
      </c>
      <c r="S41" t="s">
        <v>352</v>
      </c>
      <c r="T41" t="s">
        <v>353</v>
      </c>
      <c r="U41" t="s">
        <v>354</v>
      </c>
      <c r="V41" t="n">
        <v>2704302</v>
      </c>
      <c r="W41" t="s">
        <v>346</v>
      </c>
      <c r="X41" t="s">
        <v>347</v>
      </c>
      <c r="Y41" t="n">
        <v>94755</v>
      </c>
      <c r="Z41" t="s">
        <v>354</v>
      </c>
      <c r="AA41" t="s">
        <v>61</v>
      </c>
      <c r="AB41" t="s">
        <v>61</v>
      </c>
      <c r="AC41" s="1" t="n">
        <v>45966</v>
      </c>
      <c r="AD41" s="1" t="n">
        <v>45981</v>
      </c>
      <c r="AE41" s="1" t="n">
        <v>45981</v>
      </c>
      <c r="AF41" s="1" t="n">
        <v>45980</v>
      </c>
      <c r="AG41" s="1" t="n">
        <v>45570</v>
      </c>
      <c r="AH41" t="n">
        <v>8955</v>
      </c>
      <c r="AI41" t="s">
        <v>63</v>
      </c>
      <c r="AJ41" t="s">
        <v>355</v>
      </c>
      <c r="AK41" t="s">
        <v>83</v>
      </c>
      <c r="AL41" t="s">
        <v>151</v>
      </c>
      <c r="AM41" t="s">
        <v>67</v>
      </c>
      <c r="AN41" t="n">
        <v>13.22</v>
      </c>
      <c r="AO41" t="n">
        <v>16.9</v>
      </c>
      <c r="AP41" t="n">
        <v>3.68</v>
      </c>
      <c r="AQ41" t="n">
        <v>7.7</v>
      </c>
      <c r="AR41" t="n">
        <v>22.42</v>
      </c>
      <c r="AS41" t="s">
        <v>68</v>
      </c>
      <c r="AT41"/>
    </row>
    <row r="42">
      <c r="A42" t="s">
        <v>356</v>
      </c>
      <c r="B42" t="n">
        <v>10190203</v>
      </c>
      <c r="C42" t="s">
        <v>47</v>
      </c>
      <c r="D42" t="n">
        <v>5</v>
      </c>
      <c r="E42" t="s">
        <v>48</v>
      </c>
      <c r="F42" t="n">
        <v>13</v>
      </c>
      <c r="G42" t="s">
        <v>49</v>
      </c>
      <c r="H42" t="n">
        <v>606522</v>
      </c>
      <c r="I42"/>
      <c r="J42" t="s">
        <v>50</v>
      </c>
      <c r="K42" t="s">
        <v>51</v>
      </c>
      <c r="L42" t="s">
        <v>52</v>
      </c>
      <c r="M42" t="n">
        <v>500</v>
      </c>
      <c r="N42" t="n">
        <v>1200</v>
      </c>
      <c r="O42" t="n">
        <v>27.99</v>
      </c>
      <c r="P42" t="n">
        <v>0</v>
      </c>
      <c r="Q42" t="s">
        <v>357</v>
      </c>
      <c r="R42" t="s">
        <v>358</v>
      </c>
      <c r="S42" t="s">
        <v>359</v>
      </c>
      <c r="T42" t="s">
        <v>360</v>
      </c>
      <c r="U42" t="s">
        <v>361</v>
      </c>
      <c r="V42" t="n">
        <v>1302603</v>
      </c>
      <c r="W42" t="s">
        <v>136</v>
      </c>
      <c r="X42" t="s">
        <v>137</v>
      </c>
      <c r="Y42" t="n">
        <v>52131</v>
      </c>
      <c r="Z42" t="s">
        <v>110</v>
      </c>
      <c r="AA42" t="s">
        <v>61</v>
      </c>
      <c r="AB42" t="s">
        <v>62</v>
      </c>
      <c r="AC42" s="1" t="n">
        <v>45978</v>
      </c>
      <c r="AD42" s="1" t="n">
        <v>45979</v>
      </c>
      <c r="AE42" s="1" t="n">
        <v>45979</v>
      </c>
      <c r="AF42" s="1" t="n">
        <v>45978</v>
      </c>
      <c r="AG42" s="1" t="n">
        <v>45890</v>
      </c>
      <c r="AH42" t="n">
        <v>8955</v>
      </c>
      <c r="AI42" t="s">
        <v>63</v>
      </c>
      <c r="AJ42" t="s">
        <v>362</v>
      </c>
      <c r="AK42" t="s">
        <v>65</v>
      </c>
      <c r="AL42" t="s">
        <v>66</v>
      </c>
      <c r="AM42" t="s">
        <v>85</v>
      </c>
      <c r="AN42" t="n">
        <v>20.95</v>
      </c>
      <c r="AO42" t="n">
        <v>30.7825</v>
      </c>
      <c r="AP42" t="n">
        <v>9.8325</v>
      </c>
      <c r="AQ42" t="n">
        <v>6.20125</v>
      </c>
      <c r="AR42" t="n">
        <v>45.53125</v>
      </c>
      <c r="AS42" t="s">
        <v>68</v>
      </c>
      <c r="AT42"/>
    </row>
    <row r="43">
      <c r="A43" t="s">
        <v>363</v>
      </c>
      <c r="B43" t="n">
        <v>10191090</v>
      </c>
      <c r="C43" t="s">
        <v>47</v>
      </c>
      <c r="D43" t="n">
        <v>5</v>
      </c>
      <c r="E43" t="s">
        <v>48</v>
      </c>
      <c r="F43" t="n">
        <v>17</v>
      </c>
      <c r="G43" t="s">
        <v>49</v>
      </c>
      <c r="H43" t="n">
        <v>606522</v>
      </c>
      <c r="I43"/>
      <c r="J43" t="s">
        <v>50</v>
      </c>
      <c r="K43" t="s">
        <v>51</v>
      </c>
      <c r="L43" t="s">
        <v>52</v>
      </c>
      <c r="M43" t="n">
        <v>500</v>
      </c>
      <c r="N43" t="n">
        <v>2000</v>
      </c>
      <c r="O43" t="n">
        <v>21.92</v>
      </c>
      <c r="P43" t="n">
        <v>0</v>
      </c>
      <c r="Q43" t="s">
        <v>364</v>
      </c>
      <c r="R43" t="s">
        <v>365</v>
      </c>
      <c r="S43" t="s">
        <v>366</v>
      </c>
      <c r="T43" t="s">
        <v>367</v>
      </c>
      <c r="U43" t="s">
        <v>368</v>
      </c>
      <c r="V43" t="n">
        <v>3552502</v>
      </c>
      <c r="W43" t="s">
        <v>369</v>
      </c>
      <c r="X43" t="s">
        <v>253</v>
      </c>
      <c r="Y43" t="n">
        <v>98654</v>
      </c>
      <c r="Z43" t="s">
        <v>368</v>
      </c>
      <c r="AA43" t="s">
        <v>61</v>
      </c>
      <c r="AB43" t="s">
        <v>81</v>
      </c>
      <c r="AC43" s="1" t="n">
        <v>45978</v>
      </c>
      <c r="AD43" s="1" t="n">
        <v>45979</v>
      </c>
      <c r="AE43" s="1" t="n">
        <v>45979</v>
      </c>
      <c r="AF43" s="1" t="n">
        <v>45978</v>
      </c>
      <c r="AG43" s="1" t="n">
        <v>45375</v>
      </c>
      <c r="AH43" t="n">
        <v>8955</v>
      </c>
      <c r="AI43" t="s">
        <v>63</v>
      </c>
      <c r="AJ43" t="s">
        <v>370</v>
      </c>
      <c r="AK43" t="s">
        <v>65</v>
      </c>
      <c r="AL43" t="s">
        <v>84</v>
      </c>
      <c r="AM43" t="s">
        <v>85</v>
      </c>
      <c r="AN43" t="n">
        <v>20.95</v>
      </c>
      <c r="AO43" t="n">
        <v>30.7825</v>
      </c>
      <c r="AP43" t="n">
        <v>9.8325</v>
      </c>
      <c r="AQ43" t="n">
        <v>6.20125</v>
      </c>
      <c r="AR43" t="n">
        <v>45.53125</v>
      </c>
      <c r="AS43" t="s">
        <v>68</v>
      </c>
      <c r="AT43"/>
    </row>
    <row r="44">
      <c r="A44" t="s">
        <v>371</v>
      </c>
      <c r="B44" t="n">
        <v>10092211</v>
      </c>
      <c r="C44" t="s">
        <v>70</v>
      </c>
      <c r="D44" t="n">
        <v>5</v>
      </c>
      <c r="E44" t="s">
        <v>48</v>
      </c>
      <c r="F44" t="n">
        <v>1</v>
      </c>
      <c r="G44" t="s">
        <v>49</v>
      </c>
      <c r="H44" t="n">
        <v>606522</v>
      </c>
      <c r="I44"/>
      <c r="J44" t="s">
        <v>50</v>
      </c>
      <c r="K44" t="s">
        <v>51</v>
      </c>
      <c r="L44" t="s">
        <v>52</v>
      </c>
      <c r="M44" t="n">
        <v>500</v>
      </c>
      <c r="N44" t="n">
        <v>1195</v>
      </c>
      <c r="O44" t="n">
        <v>40.6</v>
      </c>
      <c r="P44" t="n">
        <v>0</v>
      </c>
      <c r="Q44" t="s">
        <v>372</v>
      </c>
      <c r="R44" t="s">
        <v>373</v>
      </c>
      <c r="S44" t="s">
        <v>374</v>
      </c>
      <c r="T44" t="s">
        <v>375</v>
      </c>
      <c r="U44" t="s">
        <v>376</v>
      </c>
      <c r="V44" t="n">
        <v>3304557</v>
      </c>
      <c r="W44" t="s">
        <v>203</v>
      </c>
      <c r="X44" t="s">
        <v>80</v>
      </c>
      <c r="Y44" t="n">
        <v>38911</v>
      </c>
      <c r="Z44" t="s">
        <v>377</v>
      </c>
      <c r="AA44" t="s">
        <v>61</v>
      </c>
      <c r="AB44" t="s">
        <v>62</v>
      </c>
      <c r="AC44" s="1" t="n">
        <v>45971</v>
      </c>
      <c r="AD44" s="1" t="n">
        <v>45972</v>
      </c>
      <c r="AE44" s="1" t="n">
        <v>45972</v>
      </c>
      <c r="AF44" s="1" t="n">
        <v>45971</v>
      </c>
      <c r="AG44" s="1" t="n">
        <v>45862</v>
      </c>
      <c r="AH44" t="n">
        <v>8955</v>
      </c>
      <c r="AI44" t="s">
        <v>63</v>
      </c>
      <c r="AJ44" t="s">
        <v>378</v>
      </c>
      <c r="AK44" t="s">
        <v>65</v>
      </c>
      <c r="AL44" t="s">
        <v>84</v>
      </c>
      <c r="AM44" t="s">
        <v>85</v>
      </c>
      <c r="AN44" t="n">
        <v>20.95</v>
      </c>
      <c r="AO44" t="n">
        <v>30.7825</v>
      </c>
      <c r="AP44" t="n">
        <v>9.8325</v>
      </c>
      <c r="AQ44" t="n">
        <v>6.20125</v>
      </c>
      <c r="AR44" t="n">
        <v>45.53125</v>
      </c>
      <c r="AS44" t="s">
        <v>68</v>
      </c>
      <c r="AT44"/>
    </row>
    <row r="45">
      <c r="A45" t="s">
        <v>379</v>
      </c>
      <c r="B45" t="n">
        <v>10084926</v>
      </c>
      <c r="C45" t="s">
        <v>47</v>
      </c>
      <c r="D45" t="n">
        <v>5</v>
      </c>
      <c r="E45" t="s">
        <v>48</v>
      </c>
      <c r="F45" t="n">
        <v>1</v>
      </c>
      <c r="G45" t="s">
        <v>49</v>
      </c>
      <c r="H45" t="n">
        <v>606522</v>
      </c>
      <c r="I45"/>
      <c r="J45" t="s">
        <v>50</v>
      </c>
      <c r="K45" t="s">
        <v>51</v>
      </c>
      <c r="L45" t="s">
        <v>52</v>
      </c>
      <c r="M45" t="n">
        <v>500</v>
      </c>
      <c r="N45" t="n">
        <v>8200</v>
      </c>
      <c r="O45" t="n">
        <v>20.6</v>
      </c>
      <c r="P45" t="n">
        <v>0</v>
      </c>
      <c r="Q45" t="s">
        <v>380</v>
      </c>
      <c r="R45" t="s">
        <v>381</v>
      </c>
      <c r="S45" t="s">
        <v>382</v>
      </c>
      <c r="T45" t="s">
        <v>292</v>
      </c>
      <c r="U45" t="s">
        <v>293</v>
      </c>
      <c r="V45" t="n">
        <v>5210406</v>
      </c>
      <c r="W45" t="s">
        <v>294</v>
      </c>
      <c r="X45" t="s">
        <v>295</v>
      </c>
      <c r="Y45" t="n">
        <v>97519</v>
      </c>
      <c r="Z45" t="s">
        <v>293</v>
      </c>
      <c r="AA45" t="s">
        <v>61</v>
      </c>
      <c r="AB45" t="s">
        <v>81</v>
      </c>
      <c r="AC45" s="1" t="n">
        <v>45968</v>
      </c>
      <c r="AD45" s="1" t="n">
        <v>45969</v>
      </c>
      <c r="AE45" s="1" t="n">
        <v>45969</v>
      </c>
      <c r="AF45" s="1" t="n">
        <v>45968</v>
      </c>
      <c r="AG45" s="1" t="n">
        <v>45396</v>
      </c>
      <c r="AH45" t="n">
        <v>8955</v>
      </c>
      <c r="AI45" t="s">
        <v>63</v>
      </c>
      <c r="AJ45" t="s">
        <v>383</v>
      </c>
      <c r="AK45" t="s">
        <v>65</v>
      </c>
      <c r="AL45" t="s">
        <v>272</v>
      </c>
      <c r="AM45" t="s">
        <v>85</v>
      </c>
      <c r="AN45" t="n">
        <v>20.95</v>
      </c>
      <c r="AO45" t="n">
        <v>30.7825</v>
      </c>
      <c r="AP45" t="n">
        <v>9.8325</v>
      </c>
      <c r="AQ45" t="n">
        <v>6.20125</v>
      </c>
      <c r="AR45" t="n">
        <v>45.53125</v>
      </c>
      <c r="AS45" t="s">
        <v>68</v>
      </c>
      <c r="AT45"/>
    </row>
    <row r="46">
      <c r="A46" t="s">
        <v>379</v>
      </c>
      <c r="B46" t="n">
        <v>10084927</v>
      </c>
      <c r="C46" t="s">
        <v>47</v>
      </c>
      <c r="D46" t="n">
        <v>5</v>
      </c>
      <c r="E46" t="s">
        <v>48</v>
      </c>
      <c r="F46" t="n">
        <v>2</v>
      </c>
      <c r="G46" t="s">
        <v>49</v>
      </c>
      <c r="H46" t="n">
        <v>606522</v>
      </c>
      <c r="I46"/>
      <c r="J46" t="s">
        <v>50</v>
      </c>
      <c r="K46" t="s">
        <v>51</v>
      </c>
      <c r="L46" t="s">
        <v>52</v>
      </c>
      <c r="M46" t="n">
        <v>500</v>
      </c>
      <c r="N46" t="n">
        <v>1324</v>
      </c>
      <c r="O46" t="n">
        <v>20.6</v>
      </c>
      <c r="P46" t="n">
        <v>0</v>
      </c>
      <c r="Q46" t="s">
        <v>380</v>
      </c>
      <c r="R46" t="s">
        <v>381</v>
      </c>
      <c r="S46" t="s">
        <v>382</v>
      </c>
      <c r="T46" t="s">
        <v>292</v>
      </c>
      <c r="U46" t="s">
        <v>293</v>
      </c>
      <c r="V46" t="n">
        <v>5210406</v>
      </c>
      <c r="W46" t="s">
        <v>294</v>
      </c>
      <c r="X46" t="s">
        <v>295</v>
      </c>
      <c r="Y46" t="n">
        <v>97519</v>
      </c>
      <c r="Z46" t="s">
        <v>293</v>
      </c>
      <c r="AA46" t="s">
        <v>61</v>
      </c>
      <c r="AB46" t="s">
        <v>81</v>
      </c>
      <c r="AC46" s="1" t="n">
        <v>45968</v>
      </c>
      <c r="AD46" s="1" t="n">
        <v>45969</v>
      </c>
      <c r="AE46" s="1" t="n">
        <v>45969</v>
      </c>
      <c r="AF46" s="1" t="n">
        <v>45968</v>
      </c>
      <c r="AG46" s="1" t="n">
        <v>45396</v>
      </c>
      <c r="AH46" t="n">
        <v>8955</v>
      </c>
      <c r="AI46" t="s">
        <v>63</v>
      </c>
      <c r="AJ46" t="s">
        <v>383</v>
      </c>
      <c r="AK46" t="s">
        <v>65</v>
      </c>
      <c r="AL46" t="s">
        <v>272</v>
      </c>
      <c r="AM46" t="s">
        <v>85</v>
      </c>
      <c r="AN46" t="n">
        <v>20.95</v>
      </c>
      <c r="AO46" t="n">
        <v>30.7825</v>
      </c>
      <c r="AP46" t="n">
        <v>9.8325</v>
      </c>
      <c r="AQ46" t="n">
        <v>6.20125</v>
      </c>
      <c r="AR46" t="n">
        <v>45.53125</v>
      </c>
      <c r="AS46" t="s">
        <v>68</v>
      </c>
      <c r="AT46"/>
    </row>
    <row r="47">
      <c r="A47" t="s">
        <v>384</v>
      </c>
      <c r="B47" t="n">
        <v>10051548</v>
      </c>
      <c r="C47" t="s">
        <v>47</v>
      </c>
      <c r="D47" t="n">
        <v>5</v>
      </c>
      <c r="E47" t="s">
        <v>48</v>
      </c>
      <c r="F47" t="n">
        <v>9</v>
      </c>
      <c r="G47" t="s">
        <v>49</v>
      </c>
      <c r="H47" t="n">
        <v>606522</v>
      </c>
      <c r="I47"/>
      <c r="J47"/>
      <c r="K47" t="s">
        <v>129</v>
      </c>
      <c r="L47" t="s">
        <v>130</v>
      </c>
      <c r="M47" t="n">
        <v>0</v>
      </c>
      <c r="N47" t="n">
        <v>12386</v>
      </c>
      <c r="O47" t="n">
        <v>21.99</v>
      </c>
      <c r="P47" t="n">
        <v>0</v>
      </c>
      <c r="Q47" t="s">
        <v>385</v>
      </c>
      <c r="R47" t="s">
        <v>386</v>
      </c>
      <c r="S47" t="s">
        <v>387</v>
      </c>
      <c r="T47" t="s">
        <v>388</v>
      </c>
      <c r="U47" t="s">
        <v>389</v>
      </c>
      <c r="V47" t="n">
        <v>3304557</v>
      </c>
      <c r="W47" t="s">
        <v>203</v>
      </c>
      <c r="X47" t="s">
        <v>80</v>
      </c>
      <c r="Y47" t="n">
        <v>52111</v>
      </c>
      <c r="Z47" t="s">
        <v>138</v>
      </c>
      <c r="AA47" t="s">
        <v>61</v>
      </c>
      <c r="AB47" t="s">
        <v>62</v>
      </c>
      <c r="AC47" s="1" t="n">
        <v>45966</v>
      </c>
      <c r="AD47" s="1" t="n">
        <v>45967</v>
      </c>
      <c r="AE47" s="1" t="n">
        <v>45967</v>
      </c>
      <c r="AF47" s="1" t="n">
        <v>45966</v>
      </c>
      <c r="AG47" s="1" t="n">
        <v>46086</v>
      </c>
      <c r="AH47" t="n">
        <v>8955</v>
      </c>
      <c r="AI47" t="s">
        <v>63</v>
      </c>
      <c r="AJ47" t="s">
        <v>390</v>
      </c>
      <c r="AK47" t="s">
        <v>65</v>
      </c>
      <c r="AL47" t="s">
        <v>84</v>
      </c>
      <c r="AM47" t="s">
        <v>140</v>
      </c>
      <c r="AN47" t="n">
        <v>14.3</v>
      </c>
      <c r="AO47" t="n">
        <v>26.28</v>
      </c>
      <c r="AP47" t="n">
        <v>11.98</v>
      </c>
      <c r="AQ47" t="n">
        <v>-3.67</v>
      </c>
      <c r="AR47" t="n">
        <v>44.25</v>
      </c>
      <c r="AS47" t="s">
        <v>68</v>
      </c>
      <c r="AT47"/>
    </row>
    <row r="48">
      <c r="A48" t="s">
        <v>384</v>
      </c>
      <c r="B48" t="n">
        <v>10051549</v>
      </c>
      <c r="C48" t="s">
        <v>47</v>
      </c>
      <c r="D48" t="n">
        <v>5</v>
      </c>
      <c r="E48" t="s">
        <v>48</v>
      </c>
      <c r="F48" t="n">
        <v>10</v>
      </c>
      <c r="G48" t="s">
        <v>49</v>
      </c>
      <c r="H48" t="n">
        <v>606522</v>
      </c>
      <c r="I48"/>
      <c r="J48"/>
      <c r="K48" t="s">
        <v>129</v>
      </c>
      <c r="L48" t="s">
        <v>130</v>
      </c>
      <c r="M48" t="n">
        <v>0</v>
      </c>
      <c r="N48" t="n">
        <v>2014</v>
      </c>
      <c r="O48" t="n">
        <v>21.99</v>
      </c>
      <c r="P48" t="n">
        <v>0</v>
      </c>
      <c r="Q48" t="s">
        <v>385</v>
      </c>
      <c r="R48" t="s">
        <v>386</v>
      </c>
      <c r="S48" t="s">
        <v>387</v>
      </c>
      <c r="T48" t="s">
        <v>388</v>
      </c>
      <c r="U48" t="s">
        <v>389</v>
      </c>
      <c r="V48" t="n">
        <v>3304557</v>
      </c>
      <c r="W48" t="s">
        <v>203</v>
      </c>
      <c r="X48" t="s">
        <v>80</v>
      </c>
      <c r="Y48" t="n">
        <v>52111</v>
      </c>
      <c r="Z48" t="s">
        <v>138</v>
      </c>
      <c r="AA48" t="s">
        <v>61</v>
      </c>
      <c r="AB48" t="s">
        <v>62</v>
      </c>
      <c r="AC48" s="1" t="n">
        <v>45966</v>
      </c>
      <c r="AD48" s="1" t="n">
        <v>45967</v>
      </c>
      <c r="AE48" s="1" t="n">
        <v>45967</v>
      </c>
      <c r="AF48" s="1" t="n">
        <v>45966</v>
      </c>
      <c r="AG48" s="1" t="n">
        <v>46086</v>
      </c>
      <c r="AH48" t="n">
        <v>8955</v>
      </c>
      <c r="AI48" t="s">
        <v>63</v>
      </c>
      <c r="AJ48" t="s">
        <v>390</v>
      </c>
      <c r="AK48" t="s">
        <v>65</v>
      </c>
      <c r="AL48" t="s">
        <v>84</v>
      </c>
      <c r="AM48" t="s">
        <v>140</v>
      </c>
      <c r="AN48" t="n">
        <v>14.3</v>
      </c>
      <c r="AO48" t="n">
        <v>26.28</v>
      </c>
      <c r="AP48" t="n">
        <v>11.98</v>
      </c>
      <c r="AQ48" t="n">
        <v>-3.67</v>
      </c>
      <c r="AR48" t="n">
        <v>44.25</v>
      </c>
      <c r="AS48" t="s">
        <v>68</v>
      </c>
      <c r="AT48"/>
    </row>
    <row r="49">
      <c r="A49" t="s">
        <v>391</v>
      </c>
      <c r="B49" t="n">
        <v>10025830</v>
      </c>
      <c r="C49" t="s">
        <v>70</v>
      </c>
      <c r="D49" t="n">
        <v>6</v>
      </c>
      <c r="E49" t="s">
        <v>71</v>
      </c>
      <c r="F49" t="n">
        <v>1</v>
      </c>
      <c r="G49" t="s">
        <v>49</v>
      </c>
      <c r="H49" t="n">
        <v>606522</v>
      </c>
      <c r="I49"/>
      <c r="J49" t="s">
        <v>50</v>
      </c>
      <c r="K49" t="s">
        <v>51</v>
      </c>
      <c r="L49" t="s">
        <v>52</v>
      </c>
      <c r="M49" t="n">
        <v>500</v>
      </c>
      <c r="N49" t="n">
        <v>340</v>
      </c>
      <c r="O49" t="n">
        <v>21.88</v>
      </c>
      <c r="P49" t="n">
        <v>0</v>
      </c>
      <c r="Q49" t="s">
        <v>350</v>
      </c>
      <c r="R49" t="s">
        <v>351</v>
      </c>
      <c r="S49" t="s">
        <v>392</v>
      </c>
      <c r="T49" t="s">
        <v>393</v>
      </c>
      <c r="U49" t="s">
        <v>394</v>
      </c>
      <c r="V49" t="n">
        <v>3143302</v>
      </c>
      <c r="W49" t="s">
        <v>395</v>
      </c>
      <c r="X49" t="s">
        <v>117</v>
      </c>
      <c r="Y49" t="n">
        <v>26410</v>
      </c>
      <c r="Z49" t="s">
        <v>396</v>
      </c>
      <c r="AA49" t="s">
        <v>61</v>
      </c>
      <c r="AB49" t="s">
        <v>62</v>
      </c>
      <c r="AC49" s="1" t="n">
        <v>45957</v>
      </c>
      <c r="AD49" s="1" t="n">
        <v>45965</v>
      </c>
      <c r="AE49" s="1" t="n">
        <v>45965</v>
      </c>
      <c r="AF49" s="1" t="n">
        <v>45964</v>
      </c>
      <c r="AG49" s="1" t="n">
        <v>46091</v>
      </c>
      <c r="AH49" t="n">
        <v>8955</v>
      </c>
      <c r="AI49" t="s">
        <v>63</v>
      </c>
      <c r="AJ49" t="s">
        <v>397</v>
      </c>
      <c r="AK49" t="s">
        <v>83</v>
      </c>
      <c r="AL49" t="s">
        <v>84</v>
      </c>
      <c r="AM49" t="s">
        <v>85</v>
      </c>
      <c r="AN49" t="n">
        <v>20.95</v>
      </c>
      <c r="AO49" t="n">
        <v>30.7825</v>
      </c>
      <c r="AP49" t="n">
        <v>9.8325</v>
      </c>
      <c r="AQ49" t="n">
        <v>6.20125</v>
      </c>
      <c r="AR49" t="n">
        <v>45.53125</v>
      </c>
      <c r="AS49" t="s">
        <v>68</v>
      </c>
      <c r="AT49"/>
    </row>
    <row r="50">
      <c r="A50" t="s">
        <v>398</v>
      </c>
      <c r="B50" t="n">
        <v>10026248</v>
      </c>
      <c r="C50" t="s">
        <v>70</v>
      </c>
      <c r="D50" t="n">
        <v>6</v>
      </c>
      <c r="E50" t="s">
        <v>71</v>
      </c>
      <c r="F50" t="n">
        <v>1</v>
      </c>
      <c r="G50" t="s">
        <v>49</v>
      </c>
      <c r="H50" t="n">
        <v>606522</v>
      </c>
      <c r="I50"/>
      <c r="J50" t="s">
        <v>399</v>
      </c>
      <c r="K50" t="s">
        <v>51</v>
      </c>
      <c r="L50" t="s">
        <v>52</v>
      </c>
      <c r="M50" t="n">
        <v>1</v>
      </c>
      <c r="N50" t="n">
        <v>70</v>
      </c>
      <c r="O50" t="n">
        <v>70.5</v>
      </c>
      <c r="P50" t="n">
        <v>0</v>
      </c>
      <c r="Q50" t="s">
        <v>400</v>
      </c>
      <c r="R50" t="s">
        <v>401</v>
      </c>
      <c r="S50" t="s">
        <v>402</v>
      </c>
      <c r="T50" t="s">
        <v>403</v>
      </c>
      <c r="U50" t="s">
        <v>404</v>
      </c>
      <c r="V50" t="n">
        <v>5300108</v>
      </c>
      <c r="W50" t="s">
        <v>311</v>
      </c>
      <c r="X50" t="s">
        <v>312</v>
      </c>
      <c r="Y50" t="n">
        <v>34000</v>
      </c>
      <c r="Z50" t="s">
        <v>405</v>
      </c>
      <c r="AA50" t="s">
        <v>61</v>
      </c>
      <c r="AB50" t="s">
        <v>62</v>
      </c>
      <c r="AC50" s="1" t="n">
        <v>45938</v>
      </c>
      <c r="AD50" s="1" t="n">
        <v>45965</v>
      </c>
      <c r="AE50" s="1" t="n">
        <v>45965</v>
      </c>
      <c r="AF50" s="1" t="n">
        <v>45964</v>
      </c>
      <c r="AG50" s="1" t="n">
        <v>44542</v>
      </c>
      <c r="AH50" t="n">
        <v>8955</v>
      </c>
      <c r="AI50" t="s">
        <v>63</v>
      </c>
      <c r="AJ50" t="s">
        <v>406</v>
      </c>
      <c r="AK50" t="s">
        <v>83</v>
      </c>
      <c r="AL50" t="s">
        <v>272</v>
      </c>
      <c r="AM50" t="s">
        <v>407</v>
      </c>
      <c r="AN50" t="n">
        <v>45.5</v>
      </c>
      <c r="AO50" t="n">
        <v>63.36</v>
      </c>
      <c r="AP50" t="n">
        <v>17.86</v>
      </c>
      <c r="AQ50" t="n">
        <v>18.71</v>
      </c>
      <c r="AR50" t="n">
        <v>90.15</v>
      </c>
      <c r="AS50" t="s">
        <v>68</v>
      </c>
      <c r="AT50"/>
    </row>
    <row r="51">
      <c r="A51" t="s">
        <v>408</v>
      </c>
      <c r="B51" t="n">
        <v>9982812</v>
      </c>
      <c r="C51" t="s">
        <v>70</v>
      </c>
      <c r="D51" t="n">
        <v>6</v>
      </c>
      <c r="E51" t="s">
        <v>71</v>
      </c>
      <c r="F51" t="n">
        <v>2</v>
      </c>
      <c r="G51" t="s">
        <v>49</v>
      </c>
      <c r="H51" t="n">
        <v>606522</v>
      </c>
      <c r="I51"/>
      <c r="J51" t="s">
        <v>50</v>
      </c>
      <c r="K51" t="s">
        <v>51</v>
      </c>
      <c r="L51" t="s">
        <v>52</v>
      </c>
      <c r="M51" t="n">
        <v>500</v>
      </c>
      <c r="N51" t="n">
        <v>40</v>
      </c>
      <c r="O51" t="n">
        <v>34</v>
      </c>
      <c r="P51" t="n">
        <v>0</v>
      </c>
      <c r="Q51" t="s">
        <v>409</v>
      </c>
      <c r="R51" t="s">
        <v>410</v>
      </c>
      <c r="S51" t="s">
        <v>249</v>
      </c>
      <c r="T51" t="s">
        <v>172</v>
      </c>
      <c r="U51" t="s">
        <v>173</v>
      </c>
      <c r="V51" t="n">
        <v>4318408</v>
      </c>
      <c r="W51" t="s">
        <v>174</v>
      </c>
      <c r="X51" t="s">
        <v>175</v>
      </c>
      <c r="Y51" t="n">
        <v>96775</v>
      </c>
      <c r="Z51" t="s">
        <v>176</v>
      </c>
      <c r="AA51"/>
      <c r="AB51" t="s">
        <v>81</v>
      </c>
      <c r="AC51" s="1" t="n">
        <v>45931</v>
      </c>
      <c r="AD51" s="1" t="n">
        <v>45960</v>
      </c>
      <c r="AE51" s="1" t="n">
        <v>45960</v>
      </c>
      <c r="AF51" s="1" t="n">
        <v>45959</v>
      </c>
      <c r="AG51" s="1" t="n">
        <v>45382</v>
      </c>
      <c r="AH51" t="n">
        <v>8955</v>
      </c>
      <c r="AI51" t="s">
        <v>63</v>
      </c>
      <c r="AJ51" t="s">
        <v>411</v>
      </c>
      <c r="AK51" t="s">
        <v>412</v>
      </c>
      <c r="AL51" t="s">
        <v>112</v>
      </c>
      <c r="AM51" t="s">
        <v>85</v>
      </c>
      <c r="AN51" t="n">
        <v>20.95</v>
      </c>
      <c r="AO51" t="n">
        <v>30.7825</v>
      </c>
      <c r="AP51" t="n">
        <v>9.8325</v>
      </c>
      <c r="AQ51" t="n">
        <v>6.20125</v>
      </c>
      <c r="AR51" t="n">
        <v>45.53125</v>
      </c>
      <c r="AS51" t="s">
        <v>68</v>
      </c>
      <c r="AT51"/>
    </row>
    <row r="52">
      <c r="A52" t="s">
        <v>413</v>
      </c>
      <c r="B52" t="n">
        <v>9955258</v>
      </c>
      <c r="C52" t="s">
        <v>47</v>
      </c>
      <c r="D52" t="n">
        <v>5</v>
      </c>
      <c r="E52" t="s">
        <v>48</v>
      </c>
      <c r="F52" t="n">
        <v>1</v>
      </c>
      <c r="G52" t="s">
        <v>49</v>
      </c>
      <c r="H52" t="n">
        <v>606522</v>
      </c>
      <c r="I52"/>
      <c r="J52" t="s">
        <v>50</v>
      </c>
      <c r="K52" t="s">
        <v>51</v>
      </c>
      <c r="L52" t="s">
        <v>52</v>
      </c>
      <c r="M52" t="n">
        <v>500</v>
      </c>
      <c r="N52" t="n">
        <v>48000</v>
      </c>
      <c r="O52" t="n">
        <v>22.3</v>
      </c>
      <c r="P52" t="n">
        <v>0</v>
      </c>
      <c r="Q52" t="s">
        <v>414</v>
      </c>
      <c r="R52" t="s">
        <v>415</v>
      </c>
      <c r="S52" t="s">
        <v>416</v>
      </c>
      <c r="T52" t="s">
        <v>417</v>
      </c>
      <c r="U52" t="s">
        <v>418</v>
      </c>
      <c r="V52" t="n">
        <v>3303302</v>
      </c>
      <c r="W52" t="s">
        <v>92</v>
      </c>
      <c r="X52" t="s">
        <v>80</v>
      </c>
      <c r="Y52" t="n">
        <v>99029</v>
      </c>
      <c r="Z52" t="s">
        <v>419</v>
      </c>
      <c r="AA52" t="s">
        <v>61</v>
      </c>
      <c r="AB52" t="s">
        <v>81</v>
      </c>
      <c r="AC52" s="1" t="n">
        <v>45957</v>
      </c>
      <c r="AD52" s="1" t="n">
        <v>45958</v>
      </c>
      <c r="AE52" s="1" t="n">
        <v>45958</v>
      </c>
      <c r="AF52" s="1" t="n">
        <v>45957</v>
      </c>
      <c r="AG52" s="1" t="n">
        <v>46104</v>
      </c>
      <c r="AH52" t="n">
        <v>8955</v>
      </c>
      <c r="AI52" t="s">
        <v>63</v>
      </c>
      <c r="AJ52" t="s">
        <v>420</v>
      </c>
      <c r="AK52" t="s">
        <v>65</v>
      </c>
      <c r="AL52" t="s">
        <v>84</v>
      </c>
      <c r="AM52" t="s">
        <v>85</v>
      </c>
      <c r="AN52" t="n">
        <v>20.95</v>
      </c>
      <c r="AO52" t="n">
        <v>30.7825</v>
      </c>
      <c r="AP52" t="n">
        <v>9.8325</v>
      </c>
      <c r="AQ52" t="n">
        <v>6.20125</v>
      </c>
      <c r="AR52" t="n">
        <v>45.53125</v>
      </c>
      <c r="AS52" t="s">
        <v>68</v>
      </c>
      <c r="AT52"/>
    </row>
    <row r="53">
      <c r="A53" t="s">
        <v>421</v>
      </c>
      <c r="B53" t="n">
        <v>9919798</v>
      </c>
      <c r="C53" t="s">
        <v>70</v>
      </c>
      <c r="D53" t="n">
        <v>6</v>
      </c>
      <c r="E53" t="s">
        <v>225</v>
      </c>
      <c r="F53" t="n">
        <v>2</v>
      </c>
      <c r="G53" t="s">
        <v>49</v>
      </c>
      <c r="H53" t="n">
        <v>606522</v>
      </c>
      <c r="I53"/>
      <c r="J53" t="s">
        <v>50</v>
      </c>
      <c r="K53" t="s">
        <v>51</v>
      </c>
      <c r="L53" t="s">
        <v>52</v>
      </c>
      <c r="M53" t="n">
        <v>500</v>
      </c>
      <c r="N53" t="n">
        <v>20</v>
      </c>
      <c r="O53" t="n">
        <v>36.38</v>
      </c>
      <c r="P53" t="n">
        <v>0</v>
      </c>
      <c r="Q53" t="s">
        <v>422</v>
      </c>
      <c r="R53" t="s">
        <v>423</v>
      </c>
      <c r="S53" t="s">
        <v>424</v>
      </c>
      <c r="T53" t="s">
        <v>425</v>
      </c>
      <c r="U53" t="s">
        <v>426</v>
      </c>
      <c r="V53" t="n">
        <v>3530607</v>
      </c>
      <c r="W53" t="s">
        <v>427</v>
      </c>
      <c r="X53" t="s">
        <v>253</v>
      </c>
      <c r="Y53" t="n">
        <v>95599</v>
      </c>
      <c r="Z53" t="s">
        <v>428</v>
      </c>
      <c r="AA53" t="s">
        <v>61</v>
      </c>
      <c r="AB53" t="s">
        <v>61</v>
      </c>
      <c r="AC53" s="1" t="n">
        <v>45951</v>
      </c>
      <c r="AD53" s="1" t="n">
        <v>45953</v>
      </c>
      <c r="AE53" s="1" t="n">
        <v>45953</v>
      </c>
      <c r="AF53" s="1" t="n">
        <v>45952</v>
      </c>
      <c r="AG53" s="1" t="n">
        <v>46072</v>
      </c>
      <c r="AH53" t="n">
        <v>8955</v>
      </c>
      <c r="AI53" t="s">
        <v>63</v>
      </c>
      <c r="AJ53" t="s">
        <v>429</v>
      </c>
      <c r="AK53" t="s">
        <v>230</v>
      </c>
      <c r="AL53" t="s">
        <v>84</v>
      </c>
      <c r="AM53" t="s">
        <v>85</v>
      </c>
      <c r="AN53" t="n">
        <v>20.95</v>
      </c>
      <c r="AO53" t="n">
        <v>30.7825</v>
      </c>
      <c r="AP53" t="n">
        <v>9.8325</v>
      </c>
      <c r="AQ53" t="n">
        <v>6.20125</v>
      </c>
      <c r="AR53" t="n">
        <v>45.53125</v>
      </c>
      <c r="AS53" t="s">
        <v>68</v>
      </c>
      <c r="AT53"/>
    </row>
    <row r="54">
      <c r="A54" t="s">
        <v>430</v>
      </c>
      <c r="B54" t="n">
        <v>9906849</v>
      </c>
      <c r="C54" t="s">
        <v>47</v>
      </c>
      <c r="D54" t="n">
        <v>5</v>
      </c>
      <c r="E54" t="s">
        <v>48</v>
      </c>
      <c r="F54" t="n">
        <v>1</v>
      </c>
      <c r="G54" t="s">
        <v>49</v>
      </c>
      <c r="H54" t="n">
        <v>606522</v>
      </c>
      <c r="I54"/>
      <c r="J54"/>
      <c r="K54" t="s">
        <v>129</v>
      </c>
      <c r="L54" t="s">
        <v>130</v>
      </c>
      <c r="M54" t="n">
        <v>0</v>
      </c>
      <c r="N54" t="n">
        <v>200000</v>
      </c>
      <c r="O54" t="n">
        <v>1.72</v>
      </c>
      <c r="P54" t="n">
        <v>0</v>
      </c>
      <c r="Q54" t="s">
        <v>431</v>
      </c>
      <c r="R54" t="s">
        <v>432</v>
      </c>
      <c r="S54" t="s">
        <v>433</v>
      </c>
      <c r="T54" t="s">
        <v>434</v>
      </c>
      <c r="U54" t="s">
        <v>435</v>
      </c>
      <c r="V54" t="n">
        <v>1200401</v>
      </c>
      <c r="W54" t="s">
        <v>436</v>
      </c>
      <c r="X54" t="s">
        <v>437</v>
      </c>
      <c r="Y54" t="n">
        <v>93218</v>
      </c>
      <c r="Z54" t="s">
        <v>435</v>
      </c>
      <c r="AA54" t="s">
        <v>61</v>
      </c>
      <c r="AB54" t="s">
        <v>61</v>
      </c>
      <c r="AC54" s="1" t="n">
        <v>45952</v>
      </c>
      <c r="AD54" s="1" t="n">
        <v>45953</v>
      </c>
      <c r="AE54" s="1" t="n">
        <v>45953</v>
      </c>
      <c r="AF54" s="1" t="n">
        <v>45952</v>
      </c>
      <c r="AG54" s="1" t="n">
        <v>45570</v>
      </c>
      <c r="AH54" t="n">
        <v>8955</v>
      </c>
      <c r="AI54" t="s">
        <v>63</v>
      </c>
      <c r="AJ54" t="s">
        <v>438</v>
      </c>
      <c r="AK54" t="s">
        <v>65</v>
      </c>
      <c r="AL54" t="s">
        <v>66</v>
      </c>
      <c r="AM54" t="s">
        <v>140</v>
      </c>
      <c r="AN54" t="n">
        <v>14.3</v>
      </c>
      <c r="AO54" t="n">
        <v>26.28</v>
      </c>
      <c r="AP54" t="n">
        <v>11.98</v>
      </c>
      <c r="AQ54" t="n">
        <v>-3.67</v>
      </c>
      <c r="AR54" t="n">
        <v>44.25</v>
      </c>
      <c r="AS54" t="s">
        <v>68</v>
      </c>
      <c r="AT54"/>
    </row>
    <row r="55">
      <c r="A55" t="s">
        <v>439</v>
      </c>
      <c r="B55" t="n">
        <v>9865305</v>
      </c>
      <c r="C55" t="s">
        <v>47</v>
      </c>
      <c r="D55" t="n">
        <v>5</v>
      </c>
      <c r="E55" t="s">
        <v>48</v>
      </c>
      <c r="F55" t="n">
        <v>1</v>
      </c>
      <c r="G55" t="s">
        <v>49</v>
      </c>
      <c r="H55" t="n">
        <v>606522</v>
      </c>
      <c r="I55"/>
      <c r="J55" t="s">
        <v>50</v>
      </c>
      <c r="K55" t="s">
        <v>51</v>
      </c>
      <c r="L55" t="s">
        <v>52</v>
      </c>
      <c r="M55" t="n">
        <v>500</v>
      </c>
      <c r="N55" t="n">
        <v>24498</v>
      </c>
      <c r="O55" t="n">
        <v>20.95</v>
      </c>
      <c r="P55" t="n">
        <v>0</v>
      </c>
      <c r="Q55" t="s">
        <v>440</v>
      </c>
      <c r="R55" t="s">
        <v>441</v>
      </c>
      <c r="S55" t="s">
        <v>442</v>
      </c>
      <c r="T55" t="s">
        <v>443</v>
      </c>
      <c r="U55" t="s">
        <v>444</v>
      </c>
      <c r="V55" t="n">
        <v>5300108</v>
      </c>
      <c r="W55" t="s">
        <v>311</v>
      </c>
      <c r="X55" t="s">
        <v>312</v>
      </c>
      <c r="Y55" t="n">
        <v>97453</v>
      </c>
      <c r="Z55" t="s">
        <v>445</v>
      </c>
      <c r="AA55" t="s">
        <v>61</v>
      </c>
      <c r="AB55" t="s">
        <v>61</v>
      </c>
      <c r="AC55" s="1" t="n">
        <v>45950</v>
      </c>
      <c r="AD55" s="1" t="n">
        <v>45951</v>
      </c>
      <c r="AE55" s="1" t="n">
        <v>45951</v>
      </c>
      <c r="AF55" s="1" t="n">
        <v>45950</v>
      </c>
      <c r="AG55" s="1" t="n">
        <v>45671</v>
      </c>
      <c r="AH55" t="n">
        <v>8955</v>
      </c>
      <c r="AI55" t="s">
        <v>63</v>
      </c>
      <c r="AJ55" t="s">
        <v>446</v>
      </c>
      <c r="AK55" t="s">
        <v>65</v>
      </c>
      <c r="AL55" t="s">
        <v>272</v>
      </c>
      <c r="AM55" t="s">
        <v>85</v>
      </c>
      <c r="AN55" t="n">
        <v>20.95</v>
      </c>
      <c r="AO55" t="n">
        <v>30.7825</v>
      </c>
      <c r="AP55" t="n">
        <v>9.8325</v>
      </c>
      <c r="AQ55" t="n">
        <v>6.20125</v>
      </c>
      <c r="AR55" t="n">
        <v>45.53125</v>
      </c>
      <c r="AS55" t="s">
        <v>68</v>
      </c>
      <c r="AT55"/>
    </row>
    <row r="56">
      <c r="A56" t="s">
        <v>439</v>
      </c>
      <c r="B56" t="n">
        <v>9865306</v>
      </c>
      <c r="C56" t="s">
        <v>47</v>
      </c>
      <c r="D56" t="n">
        <v>5</v>
      </c>
      <c r="E56" t="s">
        <v>48</v>
      </c>
      <c r="F56" t="n">
        <v>2</v>
      </c>
      <c r="G56" t="s">
        <v>49</v>
      </c>
      <c r="H56" t="n">
        <v>606522</v>
      </c>
      <c r="I56"/>
      <c r="J56" t="s">
        <v>50</v>
      </c>
      <c r="K56" t="s">
        <v>51</v>
      </c>
      <c r="L56" t="s">
        <v>52</v>
      </c>
      <c r="M56" t="n">
        <v>500</v>
      </c>
      <c r="N56" t="n">
        <v>8166</v>
      </c>
      <c r="O56" t="n">
        <v>20.95</v>
      </c>
      <c r="P56" t="n">
        <v>0</v>
      </c>
      <c r="Q56" t="s">
        <v>440</v>
      </c>
      <c r="R56" t="s">
        <v>441</v>
      </c>
      <c r="S56" t="s">
        <v>442</v>
      </c>
      <c r="T56" t="s">
        <v>443</v>
      </c>
      <c r="U56" t="s">
        <v>444</v>
      </c>
      <c r="V56" t="n">
        <v>5300108</v>
      </c>
      <c r="W56" t="s">
        <v>311</v>
      </c>
      <c r="X56" t="s">
        <v>312</v>
      </c>
      <c r="Y56" t="n">
        <v>97453</v>
      </c>
      <c r="Z56" t="s">
        <v>445</v>
      </c>
      <c r="AA56" t="s">
        <v>61</v>
      </c>
      <c r="AB56" t="s">
        <v>61</v>
      </c>
      <c r="AC56" s="1" t="n">
        <v>45950</v>
      </c>
      <c r="AD56" s="1" t="n">
        <v>45951</v>
      </c>
      <c r="AE56" s="1" t="n">
        <v>45951</v>
      </c>
      <c r="AF56" s="1" t="n">
        <v>45950</v>
      </c>
      <c r="AG56" s="1" t="n">
        <v>45671</v>
      </c>
      <c r="AH56" t="n">
        <v>8955</v>
      </c>
      <c r="AI56" t="s">
        <v>63</v>
      </c>
      <c r="AJ56" t="s">
        <v>446</v>
      </c>
      <c r="AK56" t="s">
        <v>65</v>
      </c>
      <c r="AL56" t="s">
        <v>272</v>
      </c>
      <c r="AM56" t="s">
        <v>85</v>
      </c>
      <c r="AN56" t="n">
        <v>20.95</v>
      </c>
      <c r="AO56" t="n">
        <v>30.7825</v>
      </c>
      <c r="AP56" t="n">
        <v>9.8325</v>
      </c>
      <c r="AQ56" t="n">
        <v>6.20125</v>
      </c>
      <c r="AR56" t="n">
        <v>45.53125</v>
      </c>
      <c r="AS56" t="s">
        <v>68</v>
      </c>
      <c r="AT56"/>
    </row>
    <row r="57">
      <c r="A57" t="s">
        <v>447</v>
      </c>
      <c r="B57" t="n">
        <v>9395689</v>
      </c>
      <c r="C57" t="s">
        <v>47</v>
      </c>
      <c r="D57" t="n">
        <v>5</v>
      </c>
      <c r="E57" t="s">
        <v>48</v>
      </c>
      <c r="F57" t="n">
        <v>28</v>
      </c>
      <c r="G57" t="s">
        <v>49</v>
      </c>
      <c r="H57" t="n">
        <v>606522</v>
      </c>
      <c r="I57"/>
      <c r="J57" t="s">
        <v>399</v>
      </c>
      <c r="K57" t="s">
        <v>51</v>
      </c>
      <c r="L57" t="s">
        <v>52</v>
      </c>
      <c r="M57" t="n">
        <v>1</v>
      </c>
      <c r="N57" t="n">
        <v>100</v>
      </c>
      <c r="O57" t="n">
        <v>63.36</v>
      </c>
      <c r="P57" t="n">
        <v>0</v>
      </c>
      <c r="Q57" t="s">
        <v>448</v>
      </c>
      <c r="R57" t="s">
        <v>449</v>
      </c>
      <c r="S57" t="s">
        <v>450</v>
      </c>
      <c r="T57" t="s">
        <v>451</v>
      </c>
      <c r="U57" t="s">
        <v>452</v>
      </c>
      <c r="V57" t="n">
        <v>4205407</v>
      </c>
      <c r="W57" t="s">
        <v>453</v>
      </c>
      <c r="X57" t="s">
        <v>454</v>
      </c>
      <c r="Y57" t="n">
        <v>26438</v>
      </c>
      <c r="Z57" t="s">
        <v>455</v>
      </c>
      <c r="AA57" t="s">
        <v>61</v>
      </c>
      <c r="AB57" t="s">
        <v>62</v>
      </c>
      <c r="AC57" s="1" t="n">
        <v>45943</v>
      </c>
      <c r="AD57" s="1" t="n">
        <v>45944</v>
      </c>
      <c r="AE57" s="1" t="n">
        <v>45944</v>
      </c>
      <c r="AF57" s="1" t="n">
        <v>45943</v>
      </c>
      <c r="AG57" s="1" t="n">
        <v>46080</v>
      </c>
      <c r="AH57" t="n">
        <v>8955</v>
      </c>
      <c r="AI57" t="s">
        <v>63</v>
      </c>
      <c r="AJ57" t="s">
        <v>456</v>
      </c>
      <c r="AK57" t="s">
        <v>65</v>
      </c>
      <c r="AL57" t="s">
        <v>112</v>
      </c>
      <c r="AM57" t="s">
        <v>407</v>
      </c>
      <c r="AN57" t="n">
        <v>45.5</v>
      </c>
      <c r="AO57" t="n">
        <v>63.36</v>
      </c>
      <c r="AP57" t="n">
        <v>17.86</v>
      </c>
      <c r="AQ57" t="n">
        <v>18.71</v>
      </c>
      <c r="AR57" t="n">
        <v>90.15</v>
      </c>
      <c r="AS57" t="s">
        <v>68</v>
      </c>
      <c r="AT57"/>
    </row>
    <row r="58">
      <c r="A58" t="s">
        <v>457</v>
      </c>
      <c r="B58" t="n">
        <v>9737826</v>
      </c>
      <c r="C58" t="s">
        <v>70</v>
      </c>
      <c r="D58" t="n">
        <v>5</v>
      </c>
      <c r="E58" t="s">
        <v>48</v>
      </c>
      <c r="F58" t="n">
        <v>4</v>
      </c>
      <c r="G58" t="s">
        <v>49</v>
      </c>
      <c r="H58" t="n">
        <v>606522</v>
      </c>
      <c r="I58"/>
      <c r="J58" t="s">
        <v>50</v>
      </c>
      <c r="K58" t="s">
        <v>51</v>
      </c>
      <c r="L58" t="s">
        <v>52</v>
      </c>
      <c r="M58" t="n">
        <v>500</v>
      </c>
      <c r="N58" t="n">
        <v>100</v>
      </c>
      <c r="O58" t="n">
        <v>26</v>
      </c>
      <c r="P58" t="n">
        <v>0</v>
      </c>
      <c r="Q58" t="s">
        <v>458</v>
      </c>
      <c r="R58" t="s">
        <v>459</v>
      </c>
      <c r="S58" t="s">
        <v>460</v>
      </c>
      <c r="T58" t="s">
        <v>461</v>
      </c>
      <c r="U58" t="s">
        <v>462</v>
      </c>
      <c r="V58" t="n">
        <v>3550308</v>
      </c>
      <c r="W58" t="s">
        <v>463</v>
      </c>
      <c r="X58" t="s">
        <v>253</v>
      </c>
      <c r="Y58" t="n">
        <v>26439</v>
      </c>
      <c r="Z58" t="s">
        <v>464</v>
      </c>
      <c r="AA58" t="s">
        <v>61</v>
      </c>
      <c r="AB58" t="s">
        <v>62</v>
      </c>
      <c r="AC58" s="1" t="n">
        <v>45938</v>
      </c>
      <c r="AD58" s="1" t="n">
        <v>45955</v>
      </c>
      <c r="AE58" s="1" t="n">
        <v>45955</v>
      </c>
      <c r="AF58" s="1" t="n">
        <v>45938</v>
      </c>
      <c r="AG58" s="1" t="n">
        <v>46084</v>
      </c>
      <c r="AH58" t="n">
        <v>8955</v>
      </c>
      <c r="AI58" t="s">
        <v>63</v>
      </c>
      <c r="AJ58" t="s">
        <v>465</v>
      </c>
      <c r="AK58" t="s">
        <v>65</v>
      </c>
      <c r="AL58" t="s">
        <v>84</v>
      </c>
      <c r="AM58" t="s">
        <v>85</v>
      </c>
      <c r="AN58" t="n">
        <v>20.95</v>
      </c>
      <c r="AO58" t="n">
        <v>30.7825</v>
      </c>
      <c r="AP58" t="n">
        <v>9.8325</v>
      </c>
      <c r="AQ58" t="n">
        <v>6.20125</v>
      </c>
      <c r="AR58" t="n">
        <v>45.53125</v>
      </c>
      <c r="AS58" t="s">
        <v>68</v>
      </c>
      <c r="AT58"/>
    </row>
    <row r="59">
      <c r="A59" t="s">
        <v>466</v>
      </c>
      <c r="B59" t="n">
        <v>9692418</v>
      </c>
      <c r="C59" t="s">
        <v>70</v>
      </c>
      <c r="D59" t="n">
        <v>5</v>
      </c>
      <c r="E59" t="s">
        <v>48</v>
      </c>
      <c r="F59" t="n">
        <v>21</v>
      </c>
      <c r="G59" t="s">
        <v>49</v>
      </c>
      <c r="H59" t="n">
        <v>606522</v>
      </c>
      <c r="I59"/>
      <c r="J59" t="s">
        <v>50</v>
      </c>
      <c r="K59" t="s">
        <v>51</v>
      </c>
      <c r="L59" t="s">
        <v>52</v>
      </c>
      <c r="M59" t="n">
        <v>500</v>
      </c>
      <c r="N59" t="n">
        <v>925</v>
      </c>
      <c r="O59" t="n">
        <v>19.98</v>
      </c>
      <c r="P59" t="n">
        <v>0</v>
      </c>
      <c r="Q59" t="s">
        <v>467</v>
      </c>
      <c r="R59" t="s">
        <v>468</v>
      </c>
      <c r="S59" t="s">
        <v>469</v>
      </c>
      <c r="T59" t="s">
        <v>470</v>
      </c>
      <c r="U59" t="s">
        <v>471</v>
      </c>
      <c r="V59" t="n">
        <v>5201108</v>
      </c>
      <c r="W59" t="s">
        <v>472</v>
      </c>
      <c r="X59" t="s">
        <v>295</v>
      </c>
      <c r="Y59" t="n">
        <v>99542</v>
      </c>
      <c r="Z59" t="s">
        <v>473</v>
      </c>
      <c r="AA59"/>
      <c r="AB59" t="s">
        <v>81</v>
      </c>
      <c r="AC59" s="1" t="n">
        <v>45933</v>
      </c>
      <c r="AD59" s="1" t="n">
        <v>45934</v>
      </c>
      <c r="AE59" s="1" t="n">
        <v>45934</v>
      </c>
      <c r="AF59" s="1" t="n">
        <v>45933</v>
      </c>
      <c r="AG59" s="1" t="n">
        <v>45570</v>
      </c>
      <c r="AH59" t="n">
        <v>8955</v>
      </c>
      <c r="AI59" t="s">
        <v>63</v>
      </c>
      <c r="AJ59" t="s">
        <v>474</v>
      </c>
      <c r="AK59" t="s">
        <v>65</v>
      </c>
      <c r="AL59" t="s">
        <v>272</v>
      </c>
      <c r="AM59" t="s">
        <v>85</v>
      </c>
      <c r="AN59" t="n">
        <v>20.95</v>
      </c>
      <c r="AO59" t="n">
        <v>30.7825</v>
      </c>
      <c r="AP59" t="n">
        <v>9.8325</v>
      </c>
      <c r="AQ59" t="n">
        <v>6.20125</v>
      </c>
      <c r="AR59" t="n">
        <v>45.53125</v>
      </c>
      <c r="AS59" t="s">
        <v>68</v>
      </c>
      <c r="AT59"/>
    </row>
    <row r="60">
      <c r="A60" t="s">
        <v>466</v>
      </c>
      <c r="B60" t="n">
        <v>9692419</v>
      </c>
      <c r="C60" t="s">
        <v>70</v>
      </c>
      <c r="D60" t="n">
        <v>5</v>
      </c>
      <c r="E60" t="s">
        <v>48</v>
      </c>
      <c r="F60" t="n">
        <v>22</v>
      </c>
      <c r="G60" t="s">
        <v>49</v>
      </c>
      <c r="H60" t="n">
        <v>606522</v>
      </c>
      <c r="I60"/>
      <c r="J60" t="s">
        <v>50</v>
      </c>
      <c r="K60" t="s">
        <v>51</v>
      </c>
      <c r="L60" t="s">
        <v>52</v>
      </c>
      <c r="M60" t="n">
        <v>500</v>
      </c>
      <c r="N60" t="n">
        <v>2775</v>
      </c>
      <c r="O60" t="n">
        <v>19.98</v>
      </c>
      <c r="P60" t="n">
        <v>0</v>
      </c>
      <c r="Q60" t="s">
        <v>467</v>
      </c>
      <c r="R60" t="s">
        <v>468</v>
      </c>
      <c r="S60" t="s">
        <v>469</v>
      </c>
      <c r="T60" t="s">
        <v>470</v>
      </c>
      <c r="U60" t="s">
        <v>471</v>
      </c>
      <c r="V60" t="n">
        <v>5201108</v>
      </c>
      <c r="W60" t="s">
        <v>472</v>
      </c>
      <c r="X60" t="s">
        <v>295</v>
      </c>
      <c r="Y60" t="n">
        <v>99542</v>
      </c>
      <c r="Z60" t="s">
        <v>473</v>
      </c>
      <c r="AA60"/>
      <c r="AB60" t="s">
        <v>81</v>
      </c>
      <c r="AC60" s="1" t="n">
        <v>45933</v>
      </c>
      <c r="AD60" s="1" t="n">
        <v>45934</v>
      </c>
      <c r="AE60" s="1" t="n">
        <v>45934</v>
      </c>
      <c r="AF60" s="1" t="n">
        <v>45933</v>
      </c>
      <c r="AG60" s="1" t="n">
        <v>45570</v>
      </c>
      <c r="AH60" t="n">
        <v>8955</v>
      </c>
      <c r="AI60" t="s">
        <v>63</v>
      </c>
      <c r="AJ60" t="s">
        <v>474</v>
      </c>
      <c r="AK60" t="s">
        <v>65</v>
      </c>
      <c r="AL60" t="s">
        <v>272</v>
      </c>
      <c r="AM60" t="s">
        <v>85</v>
      </c>
      <c r="AN60" t="n">
        <v>20.95</v>
      </c>
      <c r="AO60" t="n">
        <v>30.7825</v>
      </c>
      <c r="AP60" t="n">
        <v>9.8325</v>
      </c>
      <c r="AQ60" t="n">
        <v>6.20125</v>
      </c>
      <c r="AR60" t="n">
        <v>45.53125</v>
      </c>
      <c r="AS60" t="s">
        <v>68</v>
      </c>
      <c r="AT60"/>
    </row>
    <row r="61">
      <c r="A61" t="s">
        <v>475</v>
      </c>
      <c r="B61" t="n">
        <v>9666133</v>
      </c>
      <c r="C61" t="s">
        <v>47</v>
      </c>
      <c r="D61" t="n">
        <v>5</v>
      </c>
      <c r="E61" t="s">
        <v>48</v>
      </c>
      <c r="F61" t="n">
        <v>5</v>
      </c>
      <c r="G61" t="s">
        <v>49</v>
      </c>
      <c r="H61" t="n">
        <v>606522</v>
      </c>
      <c r="I61"/>
      <c r="J61" t="s">
        <v>50</v>
      </c>
      <c r="K61" t="s">
        <v>51</v>
      </c>
      <c r="L61" t="s">
        <v>52</v>
      </c>
      <c r="M61" t="n">
        <v>250</v>
      </c>
      <c r="N61" t="n">
        <v>2880</v>
      </c>
      <c r="O61" t="n">
        <v>13.5</v>
      </c>
      <c r="P61" t="n">
        <v>0</v>
      </c>
      <c r="Q61" t="s">
        <v>476</v>
      </c>
      <c r="R61" t="s">
        <v>477</v>
      </c>
      <c r="S61" t="s">
        <v>478</v>
      </c>
      <c r="T61" t="s">
        <v>479</v>
      </c>
      <c r="U61" t="s">
        <v>480</v>
      </c>
      <c r="V61" t="n">
        <v>2909109</v>
      </c>
      <c r="W61" t="s">
        <v>481</v>
      </c>
      <c r="X61" t="s">
        <v>212</v>
      </c>
      <c r="Y61" t="n">
        <v>95016</v>
      </c>
      <c r="Z61" t="s">
        <v>480</v>
      </c>
      <c r="AA61" t="s">
        <v>61</v>
      </c>
      <c r="AB61" t="s">
        <v>81</v>
      </c>
      <c r="AC61" s="1" t="n">
        <v>45931</v>
      </c>
      <c r="AD61" s="1" t="n">
        <v>45932</v>
      </c>
      <c r="AE61" s="1" t="n">
        <v>45932</v>
      </c>
      <c r="AF61" s="1" t="n">
        <v>45931</v>
      </c>
      <c r="AG61" s="1" t="n">
        <v>45396</v>
      </c>
      <c r="AH61" t="n">
        <v>8955</v>
      </c>
      <c r="AI61" t="s">
        <v>63</v>
      </c>
      <c r="AJ61" t="s">
        <v>482</v>
      </c>
      <c r="AK61" t="s">
        <v>65</v>
      </c>
      <c r="AL61" t="s">
        <v>151</v>
      </c>
      <c r="AM61" t="s">
        <v>67</v>
      </c>
      <c r="AN61" t="n">
        <v>13.22</v>
      </c>
      <c r="AO61" t="n">
        <v>16.9</v>
      </c>
      <c r="AP61" t="n">
        <v>3.68</v>
      </c>
      <c r="AQ61" t="n">
        <v>7.7</v>
      </c>
      <c r="AR61" t="n">
        <v>22.42</v>
      </c>
      <c r="AS61" t="s">
        <v>68</v>
      </c>
      <c r="AT61"/>
    </row>
    <row r="62">
      <c r="A62" t="s">
        <v>483</v>
      </c>
      <c r="B62" t="n">
        <v>9549519</v>
      </c>
      <c r="C62" t="s">
        <v>70</v>
      </c>
      <c r="D62" t="n">
        <v>6</v>
      </c>
      <c r="E62" t="s">
        <v>71</v>
      </c>
      <c r="F62" t="n">
        <v>1</v>
      </c>
      <c r="G62" t="s">
        <v>49</v>
      </c>
      <c r="H62" t="n">
        <v>606522</v>
      </c>
      <c r="I62"/>
      <c r="J62" t="s">
        <v>50</v>
      </c>
      <c r="K62" t="s">
        <v>51</v>
      </c>
      <c r="L62" t="s">
        <v>52</v>
      </c>
      <c r="M62" t="n">
        <v>500</v>
      </c>
      <c r="N62" t="n">
        <v>620</v>
      </c>
      <c r="O62" t="n">
        <v>25</v>
      </c>
      <c r="P62" t="n">
        <v>0</v>
      </c>
      <c r="Q62" t="s">
        <v>380</v>
      </c>
      <c r="R62" t="s">
        <v>381</v>
      </c>
      <c r="S62" t="s">
        <v>484</v>
      </c>
      <c r="T62" t="s">
        <v>485</v>
      </c>
      <c r="U62" t="s">
        <v>486</v>
      </c>
      <c r="V62" t="n">
        <v>3304557</v>
      </c>
      <c r="W62" t="s">
        <v>203</v>
      </c>
      <c r="X62" t="s">
        <v>80</v>
      </c>
      <c r="Y62" t="n">
        <v>20412</v>
      </c>
      <c r="Z62" t="s">
        <v>486</v>
      </c>
      <c r="AA62" t="s">
        <v>61</v>
      </c>
      <c r="AB62" t="s">
        <v>62</v>
      </c>
      <c r="AC62" s="1" t="n">
        <v>45923</v>
      </c>
      <c r="AD62" s="1" t="n">
        <v>45924</v>
      </c>
      <c r="AE62" s="1" t="n">
        <v>45924</v>
      </c>
      <c r="AF62" s="1" t="n">
        <v>45923</v>
      </c>
      <c r="AG62" s="1" t="n">
        <v>46083</v>
      </c>
      <c r="AH62" t="n">
        <v>8955</v>
      </c>
      <c r="AI62" t="s">
        <v>63</v>
      </c>
      <c r="AJ62" t="s">
        <v>487</v>
      </c>
      <c r="AK62" t="s">
        <v>65</v>
      </c>
      <c r="AL62" t="s">
        <v>84</v>
      </c>
      <c r="AM62" t="s">
        <v>85</v>
      </c>
      <c r="AN62" t="n">
        <v>20.95</v>
      </c>
      <c r="AO62" t="n">
        <v>30.7825</v>
      </c>
      <c r="AP62" t="n">
        <v>9.8325</v>
      </c>
      <c r="AQ62" t="n">
        <v>6.20125</v>
      </c>
      <c r="AR62" t="n">
        <v>45.53125</v>
      </c>
      <c r="AS62" t="s">
        <v>68</v>
      </c>
      <c r="AT62"/>
    </row>
    <row r="63">
      <c r="A63" t="s">
        <v>488</v>
      </c>
      <c r="B63" t="n">
        <v>9566987</v>
      </c>
      <c r="C63" t="s">
        <v>70</v>
      </c>
      <c r="D63" t="n">
        <v>6</v>
      </c>
      <c r="E63" t="s">
        <v>225</v>
      </c>
      <c r="F63" t="n">
        <v>1</v>
      </c>
      <c r="G63" t="s">
        <v>49</v>
      </c>
      <c r="H63" t="n">
        <v>606522</v>
      </c>
      <c r="I63"/>
      <c r="J63"/>
      <c r="K63" t="s">
        <v>129</v>
      </c>
      <c r="L63" t="s">
        <v>130</v>
      </c>
      <c r="M63" t="n">
        <v>0</v>
      </c>
      <c r="N63" t="n">
        <v>40</v>
      </c>
      <c r="O63" t="n">
        <v>10</v>
      </c>
      <c r="P63" t="n">
        <v>0</v>
      </c>
      <c r="Q63" t="s">
        <v>489</v>
      </c>
      <c r="R63" t="s">
        <v>490</v>
      </c>
      <c r="S63" t="s">
        <v>491</v>
      </c>
      <c r="T63" t="s">
        <v>492</v>
      </c>
      <c r="U63" t="s">
        <v>493</v>
      </c>
      <c r="V63" t="n">
        <v>3157807</v>
      </c>
      <c r="W63" t="s">
        <v>494</v>
      </c>
      <c r="X63" t="s">
        <v>117</v>
      </c>
      <c r="Y63" t="n">
        <v>98761</v>
      </c>
      <c r="Z63" t="s">
        <v>493</v>
      </c>
      <c r="AA63" t="s">
        <v>61</v>
      </c>
      <c r="AB63" t="s">
        <v>81</v>
      </c>
      <c r="AC63" s="1" t="n">
        <v>45922</v>
      </c>
      <c r="AD63" s="1" t="n">
        <v>45924</v>
      </c>
      <c r="AE63" s="1" t="n">
        <v>45924</v>
      </c>
      <c r="AF63" s="1" t="n">
        <v>45923</v>
      </c>
      <c r="AG63" s="1" t="n">
        <v>45395</v>
      </c>
      <c r="AH63" t="n">
        <v>8955</v>
      </c>
      <c r="AI63" t="s">
        <v>63</v>
      </c>
      <c r="AJ63" t="s">
        <v>495</v>
      </c>
      <c r="AK63" t="s">
        <v>230</v>
      </c>
      <c r="AL63" t="s">
        <v>84</v>
      </c>
      <c r="AM63" t="s">
        <v>140</v>
      </c>
      <c r="AN63" t="n">
        <v>14.3</v>
      </c>
      <c r="AO63" t="n">
        <v>26.28</v>
      </c>
      <c r="AP63" t="n">
        <v>11.98</v>
      </c>
      <c r="AQ63" t="n">
        <v>-3.67</v>
      </c>
      <c r="AR63" t="n">
        <v>44.25</v>
      </c>
      <c r="AS63" t="s">
        <v>68</v>
      </c>
      <c r="AT63"/>
    </row>
    <row r="64">
      <c r="A64" t="s">
        <v>496</v>
      </c>
      <c r="B64" t="n">
        <v>9568350</v>
      </c>
      <c r="C64" t="s">
        <v>70</v>
      </c>
      <c r="D64" t="n">
        <v>6</v>
      </c>
      <c r="E64" t="s">
        <v>225</v>
      </c>
      <c r="F64" t="n">
        <v>1</v>
      </c>
      <c r="G64" t="s">
        <v>49</v>
      </c>
      <c r="H64" t="n">
        <v>606522</v>
      </c>
      <c r="I64"/>
      <c r="J64" t="s">
        <v>50</v>
      </c>
      <c r="K64" t="s">
        <v>51</v>
      </c>
      <c r="L64" t="s">
        <v>52</v>
      </c>
      <c r="M64" t="n">
        <v>500</v>
      </c>
      <c r="N64" t="n">
        <v>620</v>
      </c>
      <c r="O64" t="n">
        <v>25</v>
      </c>
      <c r="P64" t="n">
        <v>0</v>
      </c>
      <c r="Q64" t="s">
        <v>380</v>
      </c>
      <c r="R64" t="s">
        <v>381</v>
      </c>
      <c r="S64" t="s">
        <v>497</v>
      </c>
      <c r="T64" t="s">
        <v>485</v>
      </c>
      <c r="U64" t="s">
        <v>486</v>
      </c>
      <c r="V64" t="n">
        <v>3304557</v>
      </c>
      <c r="W64" t="s">
        <v>203</v>
      </c>
      <c r="X64" t="s">
        <v>80</v>
      </c>
      <c r="Y64" t="n">
        <v>20412</v>
      </c>
      <c r="Z64" t="s">
        <v>486</v>
      </c>
      <c r="AA64" t="s">
        <v>61</v>
      </c>
      <c r="AB64" t="s">
        <v>62</v>
      </c>
      <c r="AC64" s="1" t="n">
        <v>45922</v>
      </c>
      <c r="AD64" s="1" t="n">
        <v>45924</v>
      </c>
      <c r="AE64" s="1" t="n">
        <v>45924</v>
      </c>
      <c r="AF64" s="1" t="n">
        <v>45923</v>
      </c>
      <c r="AG64" s="1" t="n">
        <v>46083</v>
      </c>
      <c r="AH64" t="n">
        <v>8955</v>
      </c>
      <c r="AI64" t="s">
        <v>63</v>
      </c>
      <c r="AJ64" t="s">
        <v>498</v>
      </c>
      <c r="AK64" t="s">
        <v>230</v>
      </c>
      <c r="AL64" t="s">
        <v>84</v>
      </c>
      <c r="AM64" t="s">
        <v>85</v>
      </c>
      <c r="AN64" t="n">
        <v>20.95</v>
      </c>
      <c r="AO64" t="n">
        <v>30.7825</v>
      </c>
      <c r="AP64" t="n">
        <v>9.8325</v>
      </c>
      <c r="AQ64" t="n">
        <v>6.20125</v>
      </c>
      <c r="AR64" t="n">
        <v>45.53125</v>
      </c>
      <c r="AS64" t="s">
        <v>68</v>
      </c>
      <c r="AT64"/>
    </row>
    <row r="65">
      <c r="A65" t="s">
        <v>499</v>
      </c>
      <c r="B65" t="n">
        <v>9518144</v>
      </c>
      <c r="C65" t="s">
        <v>70</v>
      </c>
      <c r="D65" t="n">
        <v>6</v>
      </c>
      <c r="E65" t="s">
        <v>71</v>
      </c>
      <c r="F65" t="n">
        <v>1</v>
      </c>
      <c r="G65" t="s">
        <v>49</v>
      </c>
      <c r="H65" t="n">
        <v>606522</v>
      </c>
      <c r="I65"/>
      <c r="J65" t="s">
        <v>399</v>
      </c>
      <c r="K65" t="s">
        <v>51</v>
      </c>
      <c r="L65" t="s">
        <v>52</v>
      </c>
      <c r="M65" t="n">
        <v>1</v>
      </c>
      <c r="N65" t="n">
        <v>1000</v>
      </c>
      <c r="O65" t="n">
        <v>49</v>
      </c>
      <c r="P65" t="n">
        <v>0</v>
      </c>
      <c r="Q65" t="s">
        <v>500</v>
      </c>
      <c r="R65" t="s">
        <v>501</v>
      </c>
      <c r="S65" t="s">
        <v>502</v>
      </c>
      <c r="T65" t="s">
        <v>503</v>
      </c>
      <c r="U65" t="s">
        <v>504</v>
      </c>
      <c r="V65" t="n">
        <v>1501402</v>
      </c>
      <c r="W65" t="s">
        <v>505</v>
      </c>
      <c r="X65" t="s">
        <v>506</v>
      </c>
      <c r="Y65" t="n">
        <v>53202</v>
      </c>
      <c r="Z65" t="s">
        <v>504</v>
      </c>
      <c r="AA65" t="s">
        <v>61</v>
      </c>
      <c r="AB65" t="s">
        <v>62</v>
      </c>
      <c r="AC65" s="1" t="n">
        <v>45919</v>
      </c>
      <c r="AD65" s="1" t="n">
        <v>45920</v>
      </c>
      <c r="AE65" s="1" t="n">
        <v>45920</v>
      </c>
      <c r="AF65" s="1" t="n">
        <v>45919</v>
      </c>
      <c r="AG65" s="1" t="n">
        <v>45845</v>
      </c>
      <c r="AH65" t="n">
        <v>8955</v>
      </c>
      <c r="AI65" t="s">
        <v>63</v>
      </c>
      <c r="AJ65" t="s">
        <v>507</v>
      </c>
      <c r="AK65" t="s">
        <v>65</v>
      </c>
      <c r="AL65" t="s">
        <v>66</v>
      </c>
      <c r="AM65" t="s">
        <v>407</v>
      </c>
      <c r="AN65" t="n">
        <v>45.5</v>
      </c>
      <c r="AO65" t="n">
        <v>63.36</v>
      </c>
      <c r="AP65" t="n">
        <v>17.86</v>
      </c>
      <c r="AQ65" t="n">
        <v>18.71</v>
      </c>
      <c r="AR65" t="n">
        <v>90.15</v>
      </c>
      <c r="AS65" t="s">
        <v>68</v>
      </c>
      <c r="AT65"/>
    </row>
    <row r="66">
      <c r="A66" t="s">
        <v>508</v>
      </c>
      <c r="B66" t="n">
        <v>9518022</v>
      </c>
      <c r="C66" t="s">
        <v>70</v>
      </c>
      <c r="D66" t="n">
        <v>6</v>
      </c>
      <c r="E66" t="s">
        <v>71</v>
      </c>
      <c r="F66" t="n">
        <v>1</v>
      </c>
      <c r="G66" t="s">
        <v>49</v>
      </c>
      <c r="H66" t="n">
        <v>606522</v>
      </c>
      <c r="I66"/>
      <c r="J66" t="s">
        <v>50</v>
      </c>
      <c r="K66" t="s">
        <v>51</v>
      </c>
      <c r="L66" t="s">
        <v>52</v>
      </c>
      <c r="M66" t="n">
        <v>500</v>
      </c>
      <c r="N66" t="n">
        <v>100</v>
      </c>
      <c r="O66" t="n">
        <v>19</v>
      </c>
      <c r="P66" t="n">
        <v>0</v>
      </c>
      <c r="Q66" t="s">
        <v>509</v>
      </c>
      <c r="R66" t="s">
        <v>510</v>
      </c>
      <c r="S66" t="s">
        <v>511</v>
      </c>
      <c r="T66" t="s">
        <v>512</v>
      </c>
      <c r="U66" t="s">
        <v>513</v>
      </c>
      <c r="V66" t="n">
        <v>3550308</v>
      </c>
      <c r="W66" t="s">
        <v>463</v>
      </c>
      <c r="X66" t="s">
        <v>253</v>
      </c>
      <c r="Y66" t="n">
        <v>36212</v>
      </c>
      <c r="Z66" t="s">
        <v>514</v>
      </c>
      <c r="AA66" t="s">
        <v>61</v>
      </c>
      <c r="AB66" t="s">
        <v>62</v>
      </c>
      <c r="AC66" s="1" t="n">
        <v>45919</v>
      </c>
      <c r="AD66" s="1" t="n">
        <v>45920</v>
      </c>
      <c r="AE66" s="1" t="n">
        <v>45920</v>
      </c>
      <c r="AF66" s="1" t="n">
        <v>45919</v>
      </c>
      <c r="AG66" s="1" t="n">
        <v>46083</v>
      </c>
      <c r="AH66" t="n">
        <v>8955</v>
      </c>
      <c r="AI66" t="s">
        <v>63</v>
      </c>
      <c r="AJ66" t="s">
        <v>515</v>
      </c>
      <c r="AK66" t="s">
        <v>65</v>
      </c>
      <c r="AL66" t="s">
        <v>84</v>
      </c>
      <c r="AM66" t="s">
        <v>85</v>
      </c>
      <c r="AN66" t="n">
        <v>20.95</v>
      </c>
      <c r="AO66" t="n">
        <v>30.7825</v>
      </c>
      <c r="AP66" t="n">
        <v>9.8325</v>
      </c>
      <c r="AQ66" t="n">
        <v>6.20125</v>
      </c>
      <c r="AR66" t="n">
        <v>45.53125</v>
      </c>
      <c r="AS66" t="s">
        <v>68</v>
      </c>
      <c r="AT66"/>
    </row>
    <row r="67">
      <c r="A67" t="s">
        <v>516</v>
      </c>
      <c r="B67" t="n">
        <v>9449292</v>
      </c>
      <c r="C67" t="s">
        <v>70</v>
      </c>
      <c r="D67" t="n">
        <v>6</v>
      </c>
      <c r="E67" t="s">
        <v>71</v>
      </c>
      <c r="F67" t="n">
        <v>1</v>
      </c>
      <c r="G67" t="s">
        <v>49</v>
      </c>
      <c r="H67" t="n">
        <v>606522</v>
      </c>
      <c r="I67"/>
      <c r="J67" t="s">
        <v>50</v>
      </c>
      <c r="K67" t="s">
        <v>51</v>
      </c>
      <c r="L67" t="s">
        <v>52</v>
      </c>
      <c r="M67" t="n">
        <v>500</v>
      </c>
      <c r="N67" t="n">
        <v>1</v>
      </c>
      <c r="O67" t="n">
        <v>22000</v>
      </c>
      <c r="P67" t="n">
        <v>0</v>
      </c>
      <c r="Q67" t="s">
        <v>517</v>
      </c>
      <c r="R67" t="s">
        <v>518</v>
      </c>
      <c r="S67" t="s">
        <v>519</v>
      </c>
      <c r="T67" t="s">
        <v>520</v>
      </c>
      <c r="U67" t="s">
        <v>521</v>
      </c>
      <c r="V67" t="n">
        <v>5300108</v>
      </c>
      <c r="W67" t="s">
        <v>311</v>
      </c>
      <c r="X67" t="s">
        <v>312</v>
      </c>
      <c r="Y67" t="n">
        <v>38532</v>
      </c>
      <c r="Z67" t="s">
        <v>521</v>
      </c>
      <c r="AA67" t="s">
        <v>61</v>
      </c>
      <c r="AB67" t="s">
        <v>62</v>
      </c>
      <c r="AC67" s="1" t="n">
        <v>45915</v>
      </c>
      <c r="AD67" s="1" t="n">
        <v>45938</v>
      </c>
      <c r="AE67" s="1" t="n">
        <v>45916</v>
      </c>
      <c r="AF67" s="1" t="n">
        <v>45915</v>
      </c>
      <c r="AG67" s="1" t="n">
        <v>45847</v>
      </c>
      <c r="AH67" t="n">
        <v>8955</v>
      </c>
      <c r="AI67" t="s">
        <v>63</v>
      </c>
      <c r="AJ67" t="s">
        <v>522</v>
      </c>
      <c r="AK67" t="s">
        <v>65</v>
      </c>
      <c r="AL67" t="s">
        <v>272</v>
      </c>
      <c r="AM67" t="s">
        <v>85</v>
      </c>
      <c r="AN67" t="n">
        <v>20.95</v>
      </c>
      <c r="AO67" t="n">
        <v>30.7825</v>
      </c>
      <c r="AP67" t="n">
        <v>9.8325</v>
      </c>
      <c r="AQ67" t="n">
        <v>6.20125</v>
      </c>
      <c r="AR67" t="n">
        <v>45.53125</v>
      </c>
      <c r="AS67" t="s">
        <v>183</v>
      </c>
      <c r="AT67" t="s">
        <v>523</v>
      </c>
    </row>
    <row r="68">
      <c r="A68" t="s">
        <v>524</v>
      </c>
      <c r="B68" t="n">
        <v>9445370</v>
      </c>
      <c r="C68" t="s">
        <v>70</v>
      </c>
      <c r="D68" t="n">
        <v>5</v>
      </c>
      <c r="E68" t="s">
        <v>48</v>
      </c>
      <c r="F68" t="n">
        <v>36</v>
      </c>
      <c r="G68" t="s">
        <v>49</v>
      </c>
      <c r="H68" t="n">
        <v>606522</v>
      </c>
      <c r="I68"/>
      <c r="J68" t="s">
        <v>50</v>
      </c>
      <c r="K68" t="s">
        <v>51</v>
      </c>
      <c r="L68" t="s">
        <v>52</v>
      </c>
      <c r="M68" t="n">
        <v>250</v>
      </c>
      <c r="N68" t="n">
        <v>1250</v>
      </c>
      <c r="O68" t="n">
        <v>14.67</v>
      </c>
      <c r="P68" t="n">
        <v>0</v>
      </c>
      <c r="Q68" t="s">
        <v>525</v>
      </c>
      <c r="R68" t="s">
        <v>526</v>
      </c>
      <c r="S68" t="s">
        <v>527</v>
      </c>
      <c r="T68" t="s">
        <v>528</v>
      </c>
      <c r="U68" t="s">
        <v>529</v>
      </c>
      <c r="V68" t="n">
        <v>2610608</v>
      </c>
      <c r="W68" t="s">
        <v>530</v>
      </c>
      <c r="X68" t="s">
        <v>531</v>
      </c>
      <c r="Y68" t="n">
        <v>98970</v>
      </c>
      <c r="Z68" t="s">
        <v>529</v>
      </c>
      <c r="AA68" t="s">
        <v>61</v>
      </c>
      <c r="AB68" t="s">
        <v>81</v>
      </c>
      <c r="AC68" s="1" t="n">
        <v>45912</v>
      </c>
      <c r="AD68" s="1" t="n">
        <v>45913</v>
      </c>
      <c r="AE68" s="1" t="n">
        <v>45913</v>
      </c>
      <c r="AF68" s="1" t="n">
        <v>45912</v>
      </c>
      <c r="AG68" s="1" t="n">
        <v>45389</v>
      </c>
      <c r="AH68" t="n">
        <v>8955</v>
      </c>
      <c r="AI68" t="s">
        <v>63</v>
      </c>
      <c r="AJ68" t="s">
        <v>532</v>
      </c>
      <c r="AK68" t="s">
        <v>65</v>
      </c>
      <c r="AL68" t="s">
        <v>151</v>
      </c>
      <c r="AM68" t="s">
        <v>67</v>
      </c>
      <c r="AN68" t="n">
        <v>13.22</v>
      </c>
      <c r="AO68" t="n">
        <v>16.9</v>
      </c>
      <c r="AP68" t="n">
        <v>3.68</v>
      </c>
      <c r="AQ68" t="n">
        <v>7.7</v>
      </c>
      <c r="AR68" t="n">
        <v>22.42</v>
      </c>
      <c r="AS68" t="s">
        <v>68</v>
      </c>
      <c r="AT68"/>
    </row>
    <row r="69">
      <c r="A69" t="s">
        <v>524</v>
      </c>
      <c r="B69" t="n">
        <v>9445369</v>
      </c>
      <c r="C69" t="s">
        <v>70</v>
      </c>
      <c r="D69" t="n">
        <v>5</v>
      </c>
      <c r="E69" t="s">
        <v>48</v>
      </c>
      <c r="F69" t="n">
        <v>35</v>
      </c>
      <c r="G69" t="s">
        <v>49</v>
      </c>
      <c r="H69" t="n">
        <v>606522</v>
      </c>
      <c r="I69"/>
      <c r="J69" t="s">
        <v>50</v>
      </c>
      <c r="K69" t="s">
        <v>51</v>
      </c>
      <c r="L69" t="s">
        <v>52</v>
      </c>
      <c r="M69" t="n">
        <v>250</v>
      </c>
      <c r="N69" t="n">
        <v>3750</v>
      </c>
      <c r="O69" t="n">
        <v>14.48</v>
      </c>
      <c r="P69" t="n">
        <v>0</v>
      </c>
      <c r="Q69" t="s">
        <v>525</v>
      </c>
      <c r="R69" t="s">
        <v>526</v>
      </c>
      <c r="S69" t="s">
        <v>527</v>
      </c>
      <c r="T69" t="s">
        <v>528</v>
      </c>
      <c r="U69" t="s">
        <v>529</v>
      </c>
      <c r="V69" t="n">
        <v>2610608</v>
      </c>
      <c r="W69" t="s">
        <v>530</v>
      </c>
      <c r="X69" t="s">
        <v>531</v>
      </c>
      <c r="Y69" t="n">
        <v>98970</v>
      </c>
      <c r="Z69" t="s">
        <v>529</v>
      </c>
      <c r="AA69" t="s">
        <v>61</v>
      </c>
      <c r="AB69" t="s">
        <v>81</v>
      </c>
      <c r="AC69" s="1" t="n">
        <v>45912</v>
      </c>
      <c r="AD69" s="1" t="n">
        <v>45913</v>
      </c>
      <c r="AE69" s="1" t="n">
        <v>45913</v>
      </c>
      <c r="AF69" s="1" t="n">
        <v>45912</v>
      </c>
      <c r="AG69" s="1" t="n">
        <v>45389</v>
      </c>
      <c r="AH69" t="n">
        <v>8955</v>
      </c>
      <c r="AI69" t="s">
        <v>63</v>
      </c>
      <c r="AJ69" t="s">
        <v>532</v>
      </c>
      <c r="AK69" t="s">
        <v>65</v>
      </c>
      <c r="AL69" t="s">
        <v>151</v>
      </c>
      <c r="AM69" t="s">
        <v>67</v>
      </c>
      <c r="AN69" t="n">
        <v>13.22</v>
      </c>
      <c r="AO69" t="n">
        <v>16.9</v>
      </c>
      <c r="AP69" t="n">
        <v>3.68</v>
      </c>
      <c r="AQ69" t="n">
        <v>7.7</v>
      </c>
      <c r="AR69" t="n">
        <v>22.42</v>
      </c>
      <c r="AS69" t="s">
        <v>68</v>
      </c>
      <c r="AT69"/>
    </row>
    <row r="70">
      <c r="A70" t="s">
        <v>533</v>
      </c>
      <c r="B70" t="n">
        <v>9418415</v>
      </c>
      <c r="C70" t="s">
        <v>70</v>
      </c>
      <c r="D70" t="n">
        <v>6</v>
      </c>
      <c r="E70" t="s">
        <v>71</v>
      </c>
      <c r="F70" t="n">
        <v>2</v>
      </c>
      <c r="G70" t="s">
        <v>49</v>
      </c>
      <c r="H70" t="n">
        <v>606522</v>
      </c>
      <c r="I70"/>
      <c r="J70" t="s">
        <v>399</v>
      </c>
      <c r="K70" t="s">
        <v>51</v>
      </c>
      <c r="L70" t="s">
        <v>52</v>
      </c>
      <c r="M70" t="n">
        <v>1</v>
      </c>
      <c r="N70" t="n">
        <v>20</v>
      </c>
      <c r="O70" t="n">
        <v>62.7</v>
      </c>
      <c r="P70" t="n">
        <v>0</v>
      </c>
      <c r="Q70" t="s">
        <v>534</v>
      </c>
      <c r="R70" t="s">
        <v>535</v>
      </c>
      <c r="S70" t="s">
        <v>536</v>
      </c>
      <c r="T70" t="s">
        <v>537</v>
      </c>
      <c r="U70" t="s">
        <v>538</v>
      </c>
      <c r="V70" t="n">
        <v>5205109</v>
      </c>
      <c r="W70" t="s">
        <v>539</v>
      </c>
      <c r="X70" t="s">
        <v>295</v>
      </c>
      <c r="Y70" t="n">
        <v>26452</v>
      </c>
      <c r="Z70" t="s">
        <v>538</v>
      </c>
      <c r="AA70" t="s">
        <v>61</v>
      </c>
      <c r="AB70" t="s">
        <v>62</v>
      </c>
      <c r="AC70" s="1" t="n">
        <v>45911</v>
      </c>
      <c r="AD70" s="1" t="n">
        <v>45912</v>
      </c>
      <c r="AE70" s="1" t="n">
        <v>45912</v>
      </c>
      <c r="AF70" s="1" t="n">
        <v>45911</v>
      </c>
      <c r="AG70" s="1" t="n">
        <v>44427</v>
      </c>
      <c r="AH70" t="n">
        <v>8955</v>
      </c>
      <c r="AI70" t="s">
        <v>63</v>
      </c>
      <c r="AJ70" t="s">
        <v>540</v>
      </c>
      <c r="AK70" t="s">
        <v>65</v>
      </c>
      <c r="AL70" t="s">
        <v>272</v>
      </c>
      <c r="AM70" t="s">
        <v>407</v>
      </c>
      <c r="AN70" t="n">
        <v>45.5</v>
      </c>
      <c r="AO70" t="n">
        <v>63.36</v>
      </c>
      <c r="AP70" t="n">
        <v>17.86</v>
      </c>
      <c r="AQ70" t="n">
        <v>18.71</v>
      </c>
      <c r="AR70" t="n">
        <v>90.15</v>
      </c>
      <c r="AS70" t="s">
        <v>68</v>
      </c>
      <c r="AT70"/>
    </row>
    <row r="71">
      <c r="A71" t="s">
        <v>541</v>
      </c>
      <c r="B71" t="n">
        <v>9401195</v>
      </c>
      <c r="C71" t="s">
        <v>70</v>
      </c>
      <c r="D71" t="n">
        <v>6</v>
      </c>
      <c r="E71" t="s">
        <v>71</v>
      </c>
      <c r="F71" t="n">
        <v>1</v>
      </c>
      <c r="G71" t="s">
        <v>49</v>
      </c>
      <c r="H71" t="n">
        <v>606522</v>
      </c>
      <c r="I71"/>
      <c r="J71" t="s">
        <v>50</v>
      </c>
      <c r="K71" t="s">
        <v>72</v>
      </c>
      <c r="L71" t="s">
        <v>73</v>
      </c>
      <c r="M71" t="n">
        <v>250</v>
      </c>
      <c r="N71" t="n">
        <v>144</v>
      </c>
      <c r="O71" t="n">
        <v>17</v>
      </c>
      <c r="P71" t="n">
        <v>0</v>
      </c>
      <c r="Q71" t="s">
        <v>542</v>
      </c>
      <c r="R71" t="s">
        <v>543</v>
      </c>
      <c r="S71" t="s">
        <v>544</v>
      </c>
      <c r="T71" t="s">
        <v>98</v>
      </c>
      <c r="U71" t="s">
        <v>99</v>
      </c>
      <c r="V71" t="n">
        <v>1400100</v>
      </c>
      <c r="W71" t="s">
        <v>58</v>
      </c>
      <c r="X71" t="s">
        <v>59</v>
      </c>
      <c r="Y71" t="n">
        <v>46000</v>
      </c>
      <c r="Z71" t="s">
        <v>100</v>
      </c>
      <c r="AA71" t="s">
        <v>61</v>
      </c>
      <c r="AB71" t="s">
        <v>62</v>
      </c>
      <c r="AC71" s="1" t="n">
        <v>45910</v>
      </c>
      <c r="AD71" s="1" t="n">
        <v>45911</v>
      </c>
      <c r="AE71" s="1" t="n">
        <v>45911</v>
      </c>
      <c r="AF71" s="1" t="n">
        <v>45910</v>
      </c>
      <c r="AG71" s="1" t="n">
        <v>45757</v>
      </c>
      <c r="AH71" t="n">
        <v>8955</v>
      </c>
      <c r="AI71" t="s">
        <v>63</v>
      </c>
      <c r="AJ71" t="s">
        <v>545</v>
      </c>
      <c r="AK71" t="s">
        <v>65</v>
      </c>
      <c r="AL71" t="s">
        <v>66</v>
      </c>
      <c r="AM71" t="s">
        <v>67</v>
      </c>
      <c r="AN71" t="n">
        <v>13.22</v>
      </c>
      <c r="AO71" t="n">
        <v>16.9</v>
      </c>
      <c r="AP71" t="n">
        <v>3.68</v>
      </c>
      <c r="AQ71" t="n">
        <v>7.7</v>
      </c>
      <c r="AR71" t="n">
        <v>22.42</v>
      </c>
      <c r="AS71" t="s">
        <v>68</v>
      </c>
      <c r="AT71"/>
    </row>
    <row r="72">
      <c r="A72" t="s">
        <v>546</v>
      </c>
      <c r="B72" t="n">
        <v>9391206</v>
      </c>
      <c r="C72" t="s">
        <v>70</v>
      </c>
      <c r="D72" t="n">
        <v>5</v>
      </c>
      <c r="E72" t="s">
        <v>48</v>
      </c>
      <c r="F72" t="n">
        <v>6</v>
      </c>
      <c r="G72" t="s">
        <v>49</v>
      </c>
      <c r="H72" t="n">
        <v>606522</v>
      </c>
      <c r="I72"/>
      <c r="J72" t="s">
        <v>50</v>
      </c>
      <c r="K72" t="s">
        <v>51</v>
      </c>
      <c r="L72" t="s">
        <v>52</v>
      </c>
      <c r="M72" t="n">
        <v>500</v>
      </c>
      <c r="N72" t="n">
        <v>864</v>
      </c>
      <c r="O72" t="n">
        <v>38.95</v>
      </c>
      <c r="P72" t="n">
        <v>0</v>
      </c>
      <c r="Q72" t="s">
        <v>547</v>
      </c>
      <c r="R72" t="s">
        <v>548</v>
      </c>
      <c r="S72" t="s">
        <v>549</v>
      </c>
      <c r="T72" t="s">
        <v>550</v>
      </c>
      <c r="U72" t="s">
        <v>551</v>
      </c>
      <c r="V72" t="n">
        <v>1100205</v>
      </c>
      <c r="W72" t="s">
        <v>158</v>
      </c>
      <c r="X72" t="s">
        <v>159</v>
      </c>
      <c r="Y72" t="n">
        <v>29009</v>
      </c>
      <c r="Z72" t="s">
        <v>551</v>
      </c>
      <c r="AA72" t="s">
        <v>61</v>
      </c>
      <c r="AB72" t="s">
        <v>62</v>
      </c>
      <c r="AC72" s="1" t="n">
        <v>45909</v>
      </c>
      <c r="AD72" s="1" t="n">
        <v>45910</v>
      </c>
      <c r="AE72" s="1" t="n">
        <v>45910</v>
      </c>
      <c r="AF72" s="1" t="n">
        <v>45909</v>
      </c>
      <c r="AG72" s="1" t="n">
        <v>46027</v>
      </c>
      <c r="AH72" t="n">
        <v>8955</v>
      </c>
      <c r="AI72" t="s">
        <v>63</v>
      </c>
      <c r="AJ72" t="s">
        <v>552</v>
      </c>
      <c r="AK72" t="s">
        <v>65</v>
      </c>
      <c r="AL72" t="s">
        <v>66</v>
      </c>
      <c r="AM72" t="s">
        <v>85</v>
      </c>
      <c r="AN72" t="n">
        <v>20.95</v>
      </c>
      <c r="AO72" t="n">
        <v>30.7825</v>
      </c>
      <c r="AP72" t="n">
        <v>9.8325</v>
      </c>
      <c r="AQ72" t="n">
        <v>6.20125</v>
      </c>
      <c r="AR72" t="n">
        <v>45.53125</v>
      </c>
      <c r="AS72" t="s">
        <v>68</v>
      </c>
      <c r="AT72"/>
    </row>
    <row r="73">
      <c r="A73" t="s">
        <v>553</v>
      </c>
      <c r="B73" t="n">
        <v>9339135</v>
      </c>
      <c r="C73" t="s">
        <v>47</v>
      </c>
      <c r="D73" t="n">
        <v>5</v>
      </c>
      <c r="E73" t="s">
        <v>48</v>
      </c>
      <c r="F73" t="n">
        <v>91</v>
      </c>
      <c r="G73" t="s">
        <v>49</v>
      </c>
      <c r="H73" t="n">
        <v>606522</v>
      </c>
      <c r="I73"/>
      <c r="J73" t="s">
        <v>50</v>
      </c>
      <c r="K73" t="s">
        <v>51</v>
      </c>
      <c r="L73" t="s">
        <v>52</v>
      </c>
      <c r="M73" t="n">
        <v>500</v>
      </c>
      <c r="N73" t="n">
        <v>1000</v>
      </c>
      <c r="O73" t="n">
        <v>23.99</v>
      </c>
      <c r="P73" t="n">
        <v>0</v>
      </c>
      <c r="Q73" t="s">
        <v>554</v>
      </c>
      <c r="R73" t="s">
        <v>555</v>
      </c>
      <c r="S73" t="s">
        <v>556</v>
      </c>
      <c r="T73" t="s">
        <v>557</v>
      </c>
      <c r="U73" t="s">
        <v>558</v>
      </c>
      <c r="V73" t="n">
        <v>2903904</v>
      </c>
      <c r="W73" t="s">
        <v>559</v>
      </c>
      <c r="X73" t="s">
        <v>212</v>
      </c>
      <c r="Y73" t="n">
        <v>26404</v>
      </c>
      <c r="Z73" t="s">
        <v>560</v>
      </c>
      <c r="AA73" t="s">
        <v>61</v>
      </c>
      <c r="AB73" t="s">
        <v>62</v>
      </c>
      <c r="AC73" s="1" t="n">
        <v>45903</v>
      </c>
      <c r="AD73" s="1" t="n">
        <v>45904</v>
      </c>
      <c r="AE73" s="1" t="n">
        <v>45904</v>
      </c>
      <c r="AF73" s="1" t="n">
        <v>45903</v>
      </c>
      <c r="AG73" s="1" t="n">
        <v>40843</v>
      </c>
      <c r="AH73" t="n">
        <v>8955</v>
      </c>
      <c r="AI73" t="s">
        <v>63</v>
      </c>
      <c r="AJ73" t="s">
        <v>561</v>
      </c>
      <c r="AK73" t="s">
        <v>65</v>
      </c>
      <c r="AL73" t="s">
        <v>151</v>
      </c>
      <c r="AM73" t="s">
        <v>85</v>
      </c>
      <c r="AN73" t="n">
        <v>20.95</v>
      </c>
      <c r="AO73" t="n">
        <v>30.7825</v>
      </c>
      <c r="AP73" t="n">
        <v>9.8325</v>
      </c>
      <c r="AQ73" t="n">
        <v>6.20125</v>
      </c>
      <c r="AR73" t="n">
        <v>45.53125</v>
      </c>
      <c r="AS73" t="s">
        <v>68</v>
      </c>
      <c r="AT73"/>
    </row>
    <row r="74">
      <c r="A74" t="s">
        <v>562</v>
      </c>
      <c r="B74" t="n">
        <v>9291418</v>
      </c>
      <c r="C74" t="s">
        <v>70</v>
      </c>
      <c r="D74" t="n">
        <v>5</v>
      </c>
      <c r="E74" t="s">
        <v>48</v>
      </c>
      <c r="F74" t="n">
        <v>1</v>
      </c>
      <c r="G74" t="s">
        <v>49</v>
      </c>
      <c r="H74" t="n">
        <v>606522</v>
      </c>
      <c r="I74"/>
      <c r="J74" t="s">
        <v>399</v>
      </c>
      <c r="K74" t="s">
        <v>51</v>
      </c>
      <c r="L74" t="s">
        <v>52</v>
      </c>
      <c r="M74" t="n">
        <v>1</v>
      </c>
      <c r="N74" t="n">
        <v>1300</v>
      </c>
      <c r="O74" t="n">
        <v>41.99</v>
      </c>
      <c r="P74" t="n">
        <v>0</v>
      </c>
      <c r="Q74" t="s">
        <v>467</v>
      </c>
      <c r="R74" t="s">
        <v>468</v>
      </c>
      <c r="S74" t="s">
        <v>469</v>
      </c>
      <c r="T74" t="s">
        <v>563</v>
      </c>
      <c r="U74" t="s">
        <v>564</v>
      </c>
      <c r="V74" t="n">
        <v>1500800</v>
      </c>
      <c r="W74" t="s">
        <v>565</v>
      </c>
      <c r="X74" t="s">
        <v>506</v>
      </c>
      <c r="Y74" t="n">
        <v>36000</v>
      </c>
      <c r="Z74" t="s">
        <v>338</v>
      </c>
      <c r="AA74" t="s">
        <v>61</v>
      </c>
      <c r="AB74" t="s">
        <v>62</v>
      </c>
      <c r="AC74" s="1" t="n">
        <v>45898</v>
      </c>
      <c r="AD74" s="1" t="n">
        <v>45899</v>
      </c>
      <c r="AE74" s="1" t="n">
        <v>45899</v>
      </c>
      <c r="AF74" s="1" t="n">
        <v>45898</v>
      </c>
      <c r="AG74" s="1" t="n">
        <v>45918</v>
      </c>
      <c r="AH74" t="n">
        <v>8955</v>
      </c>
      <c r="AI74" t="s">
        <v>63</v>
      </c>
      <c r="AJ74" t="s">
        <v>566</v>
      </c>
      <c r="AK74" t="s">
        <v>65</v>
      </c>
      <c r="AL74" t="s">
        <v>66</v>
      </c>
      <c r="AM74" t="s">
        <v>407</v>
      </c>
      <c r="AN74" t="n">
        <v>45.5</v>
      </c>
      <c r="AO74" t="n">
        <v>63.36</v>
      </c>
      <c r="AP74" t="n">
        <v>17.86</v>
      </c>
      <c r="AQ74" t="n">
        <v>18.71</v>
      </c>
      <c r="AR74" t="n">
        <v>90.15</v>
      </c>
      <c r="AS74" t="s">
        <v>68</v>
      </c>
      <c r="AT74"/>
    </row>
    <row r="75">
      <c r="A75" t="s">
        <v>567</v>
      </c>
      <c r="B75" t="n">
        <v>9262095</v>
      </c>
      <c r="C75" t="s">
        <v>70</v>
      </c>
      <c r="D75" t="n">
        <v>6</v>
      </c>
      <c r="E75" t="s">
        <v>568</v>
      </c>
      <c r="F75" t="n">
        <v>1</v>
      </c>
      <c r="G75" t="s">
        <v>49</v>
      </c>
      <c r="H75" t="n">
        <v>606522</v>
      </c>
      <c r="I75"/>
      <c r="J75" t="s">
        <v>50</v>
      </c>
      <c r="K75" t="s">
        <v>51</v>
      </c>
      <c r="L75" t="s">
        <v>52</v>
      </c>
      <c r="M75" t="n">
        <v>250</v>
      </c>
      <c r="N75" t="n">
        <v>690</v>
      </c>
      <c r="O75" t="n">
        <v>17.99</v>
      </c>
      <c r="P75" t="n">
        <v>0</v>
      </c>
      <c r="Q75" t="s">
        <v>569</v>
      </c>
      <c r="R75" t="s">
        <v>570</v>
      </c>
      <c r="S75" t="s">
        <v>249</v>
      </c>
      <c r="T75" t="s">
        <v>571</v>
      </c>
      <c r="U75" t="s">
        <v>572</v>
      </c>
      <c r="V75" t="n">
        <v>2507507</v>
      </c>
      <c r="W75" t="s">
        <v>573</v>
      </c>
      <c r="X75" t="s">
        <v>574</v>
      </c>
      <c r="Y75" t="n">
        <v>94553</v>
      </c>
      <c r="Z75" t="s">
        <v>572</v>
      </c>
      <c r="AA75" t="s">
        <v>61</v>
      </c>
      <c r="AB75" t="s">
        <v>61</v>
      </c>
      <c r="AC75" s="1" t="n">
        <v>45895</v>
      </c>
      <c r="AD75" s="1" t="n">
        <v>45897</v>
      </c>
      <c r="AE75" s="1" t="n">
        <v>45897</v>
      </c>
      <c r="AF75" s="1" t="n">
        <v>45896</v>
      </c>
      <c r="AG75" s="1" t="n">
        <v>45389</v>
      </c>
      <c r="AH75" t="n">
        <v>8955</v>
      </c>
      <c r="AI75" t="s">
        <v>63</v>
      </c>
      <c r="AJ75" t="s">
        <v>575</v>
      </c>
      <c r="AK75" t="s">
        <v>230</v>
      </c>
      <c r="AL75" t="s">
        <v>151</v>
      </c>
      <c r="AM75" t="s">
        <v>67</v>
      </c>
      <c r="AN75" t="n">
        <v>13.22</v>
      </c>
      <c r="AO75" t="n">
        <v>16.9</v>
      </c>
      <c r="AP75" t="n">
        <v>3.68</v>
      </c>
      <c r="AQ75" t="n">
        <v>7.7</v>
      </c>
      <c r="AR75" t="n">
        <v>22.42</v>
      </c>
      <c r="AS75" t="s">
        <v>68</v>
      </c>
      <c r="AT75"/>
    </row>
    <row r="76">
      <c r="A76" t="s">
        <v>576</v>
      </c>
      <c r="B76" t="n">
        <v>9226529</v>
      </c>
      <c r="C76" t="s">
        <v>70</v>
      </c>
      <c r="D76" t="n">
        <v>6</v>
      </c>
      <c r="E76" t="s">
        <v>568</v>
      </c>
      <c r="F76" t="n">
        <v>1</v>
      </c>
      <c r="G76" t="s">
        <v>49</v>
      </c>
      <c r="H76" t="n">
        <v>606522</v>
      </c>
      <c r="I76"/>
      <c r="J76" t="s">
        <v>50</v>
      </c>
      <c r="K76" t="s">
        <v>51</v>
      </c>
      <c r="L76" t="s">
        <v>52</v>
      </c>
      <c r="M76" t="n">
        <v>250</v>
      </c>
      <c r="N76" t="n">
        <v>250</v>
      </c>
      <c r="O76" t="n">
        <v>19.89</v>
      </c>
      <c r="P76" t="n">
        <v>0</v>
      </c>
      <c r="Q76" t="s">
        <v>577</v>
      </c>
      <c r="R76" t="s">
        <v>578</v>
      </c>
      <c r="S76" t="s">
        <v>579</v>
      </c>
      <c r="T76" t="s">
        <v>571</v>
      </c>
      <c r="U76" t="s">
        <v>572</v>
      </c>
      <c r="V76" t="n">
        <v>2507507</v>
      </c>
      <c r="W76" t="s">
        <v>573</v>
      </c>
      <c r="X76" t="s">
        <v>574</v>
      </c>
      <c r="Y76" t="n">
        <v>94553</v>
      </c>
      <c r="Z76" t="s">
        <v>572</v>
      </c>
      <c r="AA76" t="s">
        <v>61</v>
      </c>
      <c r="AB76" t="s">
        <v>61</v>
      </c>
      <c r="AC76" s="1" t="n">
        <v>45893</v>
      </c>
      <c r="AD76" s="1" t="n">
        <v>45895</v>
      </c>
      <c r="AE76" s="1" t="n">
        <v>45895</v>
      </c>
      <c r="AF76" s="1" t="n">
        <v>45894</v>
      </c>
      <c r="AG76" s="1" t="n">
        <v>45389</v>
      </c>
      <c r="AH76" t="n">
        <v>8955</v>
      </c>
      <c r="AI76" t="s">
        <v>63</v>
      </c>
      <c r="AJ76" t="s">
        <v>580</v>
      </c>
      <c r="AK76" t="s">
        <v>230</v>
      </c>
      <c r="AL76" t="s">
        <v>151</v>
      </c>
      <c r="AM76" t="s">
        <v>67</v>
      </c>
      <c r="AN76" t="n">
        <v>13.22</v>
      </c>
      <c r="AO76" t="n">
        <v>16.9</v>
      </c>
      <c r="AP76" t="n">
        <v>3.68</v>
      </c>
      <c r="AQ76" t="n">
        <v>7.7</v>
      </c>
      <c r="AR76" t="n">
        <v>22.42</v>
      </c>
      <c r="AS76" t="s">
        <v>68</v>
      </c>
      <c r="AT76"/>
    </row>
    <row r="77">
      <c r="A77" t="s">
        <v>581</v>
      </c>
      <c r="B77" t="n">
        <v>9189203</v>
      </c>
      <c r="C77" t="s">
        <v>70</v>
      </c>
      <c r="D77" t="n">
        <v>6</v>
      </c>
      <c r="E77" t="s">
        <v>71</v>
      </c>
      <c r="F77" t="n">
        <v>2</v>
      </c>
      <c r="G77" t="s">
        <v>49</v>
      </c>
      <c r="H77" t="n">
        <v>606522</v>
      </c>
      <c r="I77"/>
      <c r="J77" t="s">
        <v>50</v>
      </c>
      <c r="K77" t="s">
        <v>51</v>
      </c>
      <c r="L77" t="s">
        <v>52</v>
      </c>
      <c r="M77" t="n">
        <v>250</v>
      </c>
      <c r="N77" t="n">
        <v>720</v>
      </c>
      <c r="O77" t="n">
        <v>15.55</v>
      </c>
      <c r="P77" t="n">
        <v>0</v>
      </c>
      <c r="Q77" t="s">
        <v>341</v>
      </c>
      <c r="R77" t="s">
        <v>582</v>
      </c>
      <c r="S77" t="s">
        <v>583</v>
      </c>
      <c r="T77" t="s">
        <v>584</v>
      </c>
      <c r="U77" t="s">
        <v>585</v>
      </c>
      <c r="V77" t="n">
        <v>2704302</v>
      </c>
      <c r="W77" t="s">
        <v>346</v>
      </c>
      <c r="X77" t="s">
        <v>347</v>
      </c>
      <c r="Y77" t="n">
        <v>98394</v>
      </c>
      <c r="Z77" t="s">
        <v>585</v>
      </c>
      <c r="AA77" t="s">
        <v>61</v>
      </c>
      <c r="AB77" t="s">
        <v>61</v>
      </c>
      <c r="AC77" s="1" t="n">
        <v>45890</v>
      </c>
      <c r="AD77" s="1" t="n">
        <v>45891</v>
      </c>
      <c r="AE77" s="1" t="n">
        <v>45891</v>
      </c>
      <c r="AF77" s="1" t="n">
        <v>45890</v>
      </c>
      <c r="AG77" s="1" t="n">
        <v>45760</v>
      </c>
      <c r="AH77" t="n">
        <v>8955</v>
      </c>
      <c r="AI77" t="s">
        <v>63</v>
      </c>
      <c r="AJ77" t="s">
        <v>586</v>
      </c>
      <c r="AK77" t="s">
        <v>65</v>
      </c>
      <c r="AL77" t="s">
        <v>151</v>
      </c>
      <c r="AM77" t="s">
        <v>67</v>
      </c>
      <c r="AN77" t="n">
        <v>13.22</v>
      </c>
      <c r="AO77" t="n">
        <v>16.9</v>
      </c>
      <c r="AP77" t="n">
        <v>3.68</v>
      </c>
      <c r="AQ77" t="n">
        <v>7.7</v>
      </c>
      <c r="AR77" t="n">
        <v>22.42</v>
      </c>
      <c r="AS77" t="s">
        <v>68</v>
      </c>
      <c r="AT77"/>
    </row>
    <row r="78">
      <c r="A78" t="s">
        <v>587</v>
      </c>
      <c r="B78" t="n">
        <v>9195183</v>
      </c>
      <c r="C78" t="s">
        <v>70</v>
      </c>
      <c r="D78" t="n">
        <v>5</v>
      </c>
      <c r="E78" t="s">
        <v>48</v>
      </c>
      <c r="F78" t="n">
        <v>1</v>
      </c>
      <c r="G78" t="s">
        <v>49</v>
      </c>
      <c r="H78" t="n">
        <v>606522</v>
      </c>
      <c r="I78"/>
      <c r="J78" t="s">
        <v>50</v>
      </c>
      <c r="K78" t="s">
        <v>51</v>
      </c>
      <c r="L78" t="s">
        <v>52</v>
      </c>
      <c r="M78" t="n">
        <v>500</v>
      </c>
      <c r="N78" t="n">
        <v>3225</v>
      </c>
      <c r="O78" t="n">
        <v>14.8</v>
      </c>
      <c r="P78" t="n">
        <v>0</v>
      </c>
      <c r="Q78" t="s">
        <v>588</v>
      </c>
      <c r="R78" t="s">
        <v>589</v>
      </c>
      <c r="S78" t="s">
        <v>590</v>
      </c>
      <c r="T78" t="s">
        <v>591</v>
      </c>
      <c r="U78" t="s">
        <v>592</v>
      </c>
      <c r="V78" t="n">
        <v>4113502</v>
      </c>
      <c r="W78" t="s">
        <v>593</v>
      </c>
      <c r="X78" t="s">
        <v>109</v>
      </c>
      <c r="Y78" t="n">
        <v>96186</v>
      </c>
      <c r="Z78" t="s">
        <v>592</v>
      </c>
      <c r="AA78" t="s">
        <v>61</v>
      </c>
      <c r="AB78" t="s">
        <v>81</v>
      </c>
      <c r="AC78" s="1" t="n">
        <v>45890</v>
      </c>
      <c r="AD78" s="1" t="n">
        <v>45891</v>
      </c>
      <c r="AE78" s="1" t="n">
        <v>45891</v>
      </c>
      <c r="AF78" s="1" t="n">
        <v>45890</v>
      </c>
      <c r="AG78" s="1" t="n">
        <v>45356</v>
      </c>
      <c r="AH78" t="n">
        <v>8955</v>
      </c>
      <c r="AI78" t="s">
        <v>63</v>
      </c>
      <c r="AJ78" t="s">
        <v>594</v>
      </c>
      <c r="AK78" t="s">
        <v>65</v>
      </c>
      <c r="AL78" t="s">
        <v>112</v>
      </c>
      <c r="AM78" t="s">
        <v>85</v>
      </c>
      <c r="AN78" t="n">
        <v>20.95</v>
      </c>
      <c r="AO78" t="n">
        <v>30.7825</v>
      </c>
      <c r="AP78" t="n">
        <v>9.8325</v>
      </c>
      <c r="AQ78" t="n">
        <v>6.20125</v>
      </c>
      <c r="AR78" t="n">
        <v>45.53125</v>
      </c>
      <c r="AS78" t="s">
        <v>68</v>
      </c>
      <c r="AT78"/>
    </row>
    <row r="79">
      <c r="A79" t="s">
        <v>587</v>
      </c>
      <c r="B79" t="n">
        <v>9195184</v>
      </c>
      <c r="C79" t="s">
        <v>70</v>
      </c>
      <c r="D79" t="n">
        <v>5</v>
      </c>
      <c r="E79" t="s">
        <v>48</v>
      </c>
      <c r="F79" t="n">
        <v>2</v>
      </c>
      <c r="G79" t="s">
        <v>49</v>
      </c>
      <c r="H79" t="n">
        <v>606522</v>
      </c>
      <c r="I79"/>
      <c r="J79" t="s">
        <v>50</v>
      </c>
      <c r="K79" t="s">
        <v>51</v>
      </c>
      <c r="L79" t="s">
        <v>52</v>
      </c>
      <c r="M79" t="n">
        <v>500</v>
      </c>
      <c r="N79" t="n">
        <v>1075</v>
      </c>
      <c r="O79" t="n">
        <v>14.8</v>
      </c>
      <c r="P79" t="n">
        <v>0</v>
      </c>
      <c r="Q79" t="s">
        <v>588</v>
      </c>
      <c r="R79" t="s">
        <v>589</v>
      </c>
      <c r="S79" t="s">
        <v>590</v>
      </c>
      <c r="T79" t="s">
        <v>591</v>
      </c>
      <c r="U79" t="s">
        <v>592</v>
      </c>
      <c r="V79" t="n">
        <v>4113502</v>
      </c>
      <c r="W79" t="s">
        <v>593</v>
      </c>
      <c r="X79" t="s">
        <v>109</v>
      </c>
      <c r="Y79" t="n">
        <v>96186</v>
      </c>
      <c r="Z79" t="s">
        <v>592</v>
      </c>
      <c r="AA79" t="s">
        <v>61</v>
      </c>
      <c r="AB79" t="s">
        <v>81</v>
      </c>
      <c r="AC79" s="1" t="n">
        <v>45890</v>
      </c>
      <c r="AD79" s="1" t="n">
        <v>45891</v>
      </c>
      <c r="AE79" s="1" t="n">
        <v>45891</v>
      </c>
      <c r="AF79" s="1" t="n">
        <v>45890</v>
      </c>
      <c r="AG79" s="1" t="n">
        <v>45356</v>
      </c>
      <c r="AH79" t="n">
        <v>8955</v>
      </c>
      <c r="AI79" t="s">
        <v>63</v>
      </c>
      <c r="AJ79" t="s">
        <v>594</v>
      </c>
      <c r="AK79" t="s">
        <v>65</v>
      </c>
      <c r="AL79" t="s">
        <v>112</v>
      </c>
      <c r="AM79" t="s">
        <v>85</v>
      </c>
      <c r="AN79" t="n">
        <v>20.95</v>
      </c>
      <c r="AO79" t="n">
        <v>30.7825</v>
      </c>
      <c r="AP79" t="n">
        <v>9.8325</v>
      </c>
      <c r="AQ79" t="n">
        <v>6.20125</v>
      </c>
      <c r="AR79" t="n">
        <v>45.53125</v>
      </c>
      <c r="AS79" t="s">
        <v>68</v>
      </c>
      <c r="AT79"/>
    </row>
    <row r="80">
      <c r="A80" t="s">
        <v>595</v>
      </c>
      <c r="B80" t="n">
        <v>9157701</v>
      </c>
      <c r="C80" t="s">
        <v>70</v>
      </c>
      <c r="D80" t="n">
        <v>6</v>
      </c>
      <c r="E80" t="s">
        <v>568</v>
      </c>
      <c r="F80" t="n">
        <v>6</v>
      </c>
      <c r="G80" t="s">
        <v>49</v>
      </c>
      <c r="H80" t="n">
        <v>606522</v>
      </c>
      <c r="I80"/>
      <c r="J80" t="s">
        <v>50</v>
      </c>
      <c r="K80" t="s">
        <v>72</v>
      </c>
      <c r="L80" t="s">
        <v>73</v>
      </c>
      <c r="M80" t="n">
        <v>500</v>
      </c>
      <c r="N80" t="n">
        <v>2</v>
      </c>
      <c r="O80" t="n">
        <v>526</v>
      </c>
      <c r="P80" t="n">
        <v>0</v>
      </c>
      <c r="Q80" t="s">
        <v>596</v>
      </c>
      <c r="R80" t="s">
        <v>597</v>
      </c>
      <c r="S80" t="s">
        <v>598</v>
      </c>
      <c r="T80" t="s">
        <v>599</v>
      </c>
      <c r="U80" t="s">
        <v>600</v>
      </c>
      <c r="V80" t="n">
        <v>5103403</v>
      </c>
      <c r="W80" t="s">
        <v>601</v>
      </c>
      <c r="X80" t="s">
        <v>602</v>
      </c>
      <c r="Y80" t="n">
        <v>38702</v>
      </c>
      <c r="Z80" t="s">
        <v>603</v>
      </c>
      <c r="AA80" t="s">
        <v>61</v>
      </c>
      <c r="AB80" t="s">
        <v>62</v>
      </c>
      <c r="AC80" s="1" t="n">
        <v>45886</v>
      </c>
      <c r="AD80" s="1" t="n">
        <v>45888</v>
      </c>
      <c r="AE80" s="1" t="n">
        <v>45888</v>
      </c>
      <c r="AF80" s="1" t="n">
        <v>45887</v>
      </c>
      <c r="AG80" s="1" t="n">
        <v>45863</v>
      </c>
      <c r="AH80" t="n">
        <v>8955</v>
      </c>
      <c r="AI80" t="s">
        <v>63</v>
      </c>
      <c r="AJ80" t="s">
        <v>604</v>
      </c>
      <c r="AK80" t="s">
        <v>230</v>
      </c>
      <c r="AL80" t="s">
        <v>272</v>
      </c>
      <c r="AM80" t="s">
        <v>85</v>
      </c>
      <c r="AN80" t="n">
        <v>20.95</v>
      </c>
      <c r="AO80" t="n">
        <v>30.7825</v>
      </c>
      <c r="AP80" t="n">
        <v>9.8325</v>
      </c>
      <c r="AQ80" t="n">
        <v>6.20125</v>
      </c>
      <c r="AR80" t="n">
        <v>45.53125</v>
      </c>
      <c r="AS80" t="s">
        <v>183</v>
      </c>
      <c r="AT80" t="s">
        <v>523</v>
      </c>
    </row>
    <row r="81">
      <c r="A81" t="s">
        <v>605</v>
      </c>
      <c r="B81" t="n">
        <v>9120162</v>
      </c>
      <c r="C81" t="s">
        <v>70</v>
      </c>
      <c r="D81" t="n">
        <v>6</v>
      </c>
      <c r="E81" t="s">
        <v>71</v>
      </c>
      <c r="F81" t="n">
        <v>1</v>
      </c>
      <c r="G81" t="s">
        <v>49</v>
      </c>
      <c r="H81" t="n">
        <v>606522</v>
      </c>
      <c r="I81"/>
      <c r="J81" t="s">
        <v>50</v>
      </c>
      <c r="K81" t="s">
        <v>51</v>
      </c>
      <c r="L81" t="s">
        <v>52</v>
      </c>
      <c r="M81" t="n">
        <v>250</v>
      </c>
      <c r="N81" t="n">
        <v>200</v>
      </c>
      <c r="O81" t="n">
        <v>13.22</v>
      </c>
      <c r="P81" t="n">
        <v>0</v>
      </c>
      <c r="Q81" t="s">
        <v>606</v>
      </c>
      <c r="R81" t="s">
        <v>607</v>
      </c>
      <c r="S81" t="s">
        <v>608</v>
      </c>
      <c r="T81" t="s">
        <v>609</v>
      </c>
      <c r="U81" t="s">
        <v>610</v>
      </c>
      <c r="V81" t="n">
        <v>2111300</v>
      </c>
      <c r="W81" t="s">
        <v>191</v>
      </c>
      <c r="X81" t="s">
        <v>192</v>
      </c>
      <c r="Y81" t="n">
        <v>38951</v>
      </c>
      <c r="Z81" t="s">
        <v>610</v>
      </c>
      <c r="AA81" t="s">
        <v>61</v>
      </c>
      <c r="AB81" t="s">
        <v>62</v>
      </c>
      <c r="AC81" s="1" t="n">
        <v>45883</v>
      </c>
      <c r="AD81" s="1" t="n">
        <v>45884</v>
      </c>
      <c r="AE81" s="1" t="n">
        <v>45884</v>
      </c>
      <c r="AF81" s="1" t="n">
        <v>45883</v>
      </c>
      <c r="AG81" s="1" t="n">
        <v>45867</v>
      </c>
      <c r="AH81" t="n">
        <v>8955</v>
      </c>
      <c r="AI81" t="s">
        <v>63</v>
      </c>
      <c r="AJ81" t="s">
        <v>611</v>
      </c>
      <c r="AK81" t="s">
        <v>65</v>
      </c>
      <c r="AL81" t="s">
        <v>151</v>
      </c>
      <c r="AM81" t="s">
        <v>67</v>
      </c>
      <c r="AN81" t="n">
        <v>13.22</v>
      </c>
      <c r="AO81" t="n">
        <v>16.9</v>
      </c>
      <c r="AP81" t="n">
        <v>3.68</v>
      </c>
      <c r="AQ81" t="n">
        <v>7.7</v>
      </c>
      <c r="AR81" t="n">
        <v>22.42</v>
      </c>
      <c r="AS81" t="s">
        <v>68</v>
      </c>
      <c r="AT81"/>
    </row>
    <row r="82">
      <c r="A82" t="s">
        <v>612</v>
      </c>
      <c r="B82" t="n">
        <v>9092200</v>
      </c>
      <c r="C82" t="s">
        <v>70</v>
      </c>
      <c r="D82" t="n">
        <v>6</v>
      </c>
      <c r="E82" t="s">
        <v>71</v>
      </c>
      <c r="F82" t="n">
        <v>2</v>
      </c>
      <c r="G82" t="s">
        <v>49</v>
      </c>
      <c r="H82" t="n">
        <v>606522</v>
      </c>
      <c r="I82"/>
      <c r="J82" t="s">
        <v>50</v>
      </c>
      <c r="K82" t="s">
        <v>51</v>
      </c>
      <c r="L82" t="s">
        <v>52</v>
      </c>
      <c r="M82" t="n">
        <v>500</v>
      </c>
      <c r="N82" t="n">
        <v>40</v>
      </c>
      <c r="O82" t="n">
        <v>35</v>
      </c>
      <c r="P82" t="n">
        <v>0</v>
      </c>
      <c r="Q82" t="s">
        <v>409</v>
      </c>
      <c r="R82" t="s">
        <v>410</v>
      </c>
      <c r="S82" t="s">
        <v>613</v>
      </c>
      <c r="T82" t="s">
        <v>172</v>
      </c>
      <c r="U82" t="s">
        <v>173</v>
      </c>
      <c r="V82" t="n">
        <v>4318408</v>
      </c>
      <c r="W82" t="s">
        <v>174</v>
      </c>
      <c r="X82" t="s">
        <v>175</v>
      </c>
      <c r="Y82" t="n">
        <v>96775</v>
      </c>
      <c r="Z82" t="s">
        <v>176</v>
      </c>
      <c r="AA82"/>
      <c r="AB82" t="s">
        <v>81</v>
      </c>
      <c r="AC82" s="1" t="n">
        <v>45881</v>
      </c>
      <c r="AD82" s="1" t="n">
        <v>45882</v>
      </c>
      <c r="AE82" s="1" t="n">
        <v>45882</v>
      </c>
      <c r="AF82" s="1" t="n">
        <v>45881</v>
      </c>
      <c r="AG82" s="1" t="n">
        <v>45382</v>
      </c>
      <c r="AH82" t="n">
        <v>8955</v>
      </c>
      <c r="AI82" t="s">
        <v>63</v>
      </c>
      <c r="AJ82" t="s">
        <v>614</v>
      </c>
      <c r="AK82" t="s">
        <v>65</v>
      </c>
      <c r="AL82" t="s">
        <v>112</v>
      </c>
      <c r="AM82" t="s">
        <v>85</v>
      </c>
      <c r="AN82" t="n">
        <v>20.95</v>
      </c>
      <c r="AO82" t="n">
        <v>30.7825</v>
      </c>
      <c r="AP82" t="n">
        <v>9.8325</v>
      </c>
      <c r="AQ82" t="n">
        <v>6.20125</v>
      </c>
      <c r="AR82" t="n">
        <v>45.53125</v>
      </c>
      <c r="AS82" t="s">
        <v>68</v>
      </c>
      <c r="AT82"/>
    </row>
    <row r="83">
      <c r="A83" t="s">
        <v>615</v>
      </c>
      <c r="B83" t="n">
        <v>9021975</v>
      </c>
      <c r="C83" t="s">
        <v>70</v>
      </c>
      <c r="D83" t="n">
        <v>6</v>
      </c>
      <c r="E83" t="s">
        <v>568</v>
      </c>
      <c r="F83" t="n">
        <v>1</v>
      </c>
      <c r="G83" t="s">
        <v>49</v>
      </c>
      <c r="H83" t="n">
        <v>606522</v>
      </c>
      <c r="I83"/>
      <c r="J83" t="s">
        <v>50</v>
      </c>
      <c r="K83" t="s">
        <v>51</v>
      </c>
      <c r="L83" t="s">
        <v>52</v>
      </c>
      <c r="M83" t="n">
        <v>250</v>
      </c>
      <c r="N83" t="n">
        <v>2032</v>
      </c>
      <c r="O83" t="n">
        <v>16.99</v>
      </c>
      <c r="P83" t="n">
        <v>0</v>
      </c>
      <c r="Q83" t="s">
        <v>616</v>
      </c>
      <c r="R83" t="s">
        <v>617</v>
      </c>
      <c r="S83" t="s">
        <v>618</v>
      </c>
      <c r="T83" t="s">
        <v>619</v>
      </c>
      <c r="U83" t="s">
        <v>620</v>
      </c>
      <c r="V83" t="n">
        <v>2211001</v>
      </c>
      <c r="W83" t="s">
        <v>621</v>
      </c>
      <c r="X83" t="s">
        <v>622</v>
      </c>
      <c r="Y83" t="n">
        <v>99688</v>
      </c>
      <c r="Z83" t="s">
        <v>620</v>
      </c>
      <c r="AA83" t="s">
        <v>61</v>
      </c>
      <c r="AB83" t="s">
        <v>61</v>
      </c>
      <c r="AC83" s="1" t="n">
        <v>45872</v>
      </c>
      <c r="AD83" s="1" t="n">
        <v>45874</v>
      </c>
      <c r="AE83" s="1" t="n">
        <v>45874</v>
      </c>
      <c r="AF83" s="1" t="n">
        <v>45873</v>
      </c>
      <c r="AG83" s="1" t="n">
        <v>45577</v>
      </c>
      <c r="AH83" t="n">
        <v>8955</v>
      </c>
      <c r="AI83" t="s">
        <v>63</v>
      </c>
      <c r="AJ83" t="s">
        <v>623</v>
      </c>
      <c r="AK83" t="s">
        <v>230</v>
      </c>
      <c r="AL83" t="s">
        <v>151</v>
      </c>
      <c r="AM83" t="s">
        <v>67</v>
      </c>
      <c r="AN83" t="n">
        <v>13.22</v>
      </c>
      <c r="AO83" t="n">
        <v>16.9</v>
      </c>
      <c r="AP83" t="n">
        <v>3.68</v>
      </c>
      <c r="AQ83" t="n">
        <v>7.7</v>
      </c>
      <c r="AR83" t="n">
        <v>22.42</v>
      </c>
      <c r="AS83" t="s">
        <v>68</v>
      </c>
      <c r="AT83"/>
    </row>
    <row r="84">
      <c r="A84" t="s">
        <v>624</v>
      </c>
      <c r="B84" t="n">
        <v>8937805</v>
      </c>
      <c r="C84" t="s">
        <v>70</v>
      </c>
      <c r="D84" t="n">
        <v>6</v>
      </c>
      <c r="E84" t="s">
        <v>71</v>
      </c>
      <c r="F84" t="n">
        <v>1</v>
      </c>
      <c r="G84" t="s">
        <v>49</v>
      </c>
      <c r="H84" t="n">
        <v>606522</v>
      </c>
      <c r="I84"/>
      <c r="J84" t="s">
        <v>50</v>
      </c>
      <c r="K84" t="s">
        <v>51</v>
      </c>
      <c r="L84" t="s">
        <v>52</v>
      </c>
      <c r="M84" t="n">
        <v>500</v>
      </c>
      <c r="N84" t="n">
        <v>50</v>
      </c>
      <c r="O84" t="n">
        <v>32</v>
      </c>
      <c r="P84" t="n">
        <v>0</v>
      </c>
      <c r="Q84" t="s">
        <v>625</v>
      </c>
      <c r="R84" t="s">
        <v>626</v>
      </c>
      <c r="S84" t="s">
        <v>627</v>
      </c>
      <c r="T84" t="s">
        <v>628</v>
      </c>
      <c r="U84" t="s">
        <v>629</v>
      </c>
      <c r="V84" t="n">
        <v>3303708</v>
      </c>
      <c r="W84" t="s">
        <v>630</v>
      </c>
      <c r="X84" t="s">
        <v>80</v>
      </c>
      <c r="Y84" t="n">
        <v>85945</v>
      </c>
      <c r="Z84" t="s">
        <v>629</v>
      </c>
      <c r="AA84" t="s">
        <v>61</v>
      </c>
      <c r="AB84" t="s">
        <v>81</v>
      </c>
      <c r="AC84" s="1" t="n">
        <v>45866</v>
      </c>
      <c r="AD84" s="1" t="n">
        <v>45867</v>
      </c>
      <c r="AE84" s="1" t="n">
        <v>45867</v>
      </c>
      <c r="AF84" s="1" t="n">
        <v>45866</v>
      </c>
      <c r="AG84" s="1" t="n">
        <v>45566</v>
      </c>
      <c r="AH84" t="n">
        <v>8955</v>
      </c>
      <c r="AI84" t="s">
        <v>63</v>
      </c>
      <c r="AJ84" t="s">
        <v>631</v>
      </c>
      <c r="AK84" t="s">
        <v>65</v>
      </c>
      <c r="AL84" t="s">
        <v>84</v>
      </c>
      <c r="AM84" t="s">
        <v>85</v>
      </c>
      <c r="AN84" t="n">
        <v>20.95</v>
      </c>
      <c r="AO84" t="n">
        <v>30.7825</v>
      </c>
      <c r="AP84" t="n">
        <v>9.8325</v>
      </c>
      <c r="AQ84" t="n">
        <v>6.20125</v>
      </c>
      <c r="AR84" t="n">
        <v>45.53125</v>
      </c>
      <c r="AS84" t="s">
        <v>68</v>
      </c>
      <c r="AT84"/>
    </row>
    <row r="85">
      <c r="A85" t="s">
        <v>632</v>
      </c>
      <c r="B85" t="n">
        <v>8907225</v>
      </c>
      <c r="C85" t="s">
        <v>47</v>
      </c>
      <c r="D85" t="n">
        <v>5</v>
      </c>
      <c r="E85" t="s">
        <v>48</v>
      </c>
      <c r="F85" t="n">
        <v>119</v>
      </c>
      <c r="G85" t="s">
        <v>49</v>
      </c>
      <c r="H85" t="n">
        <v>606522</v>
      </c>
      <c r="I85"/>
      <c r="J85"/>
      <c r="K85" t="s">
        <v>129</v>
      </c>
      <c r="L85" t="s">
        <v>130</v>
      </c>
      <c r="M85" t="n">
        <v>0</v>
      </c>
      <c r="N85" t="n">
        <v>2250</v>
      </c>
      <c r="O85" t="n">
        <v>21</v>
      </c>
      <c r="P85" t="n">
        <v>0</v>
      </c>
      <c r="Q85" t="s">
        <v>633</v>
      </c>
      <c r="R85" t="s">
        <v>634</v>
      </c>
      <c r="S85" t="s">
        <v>635</v>
      </c>
      <c r="T85" t="s">
        <v>77</v>
      </c>
      <c r="U85" t="s">
        <v>78</v>
      </c>
      <c r="V85" t="n">
        <v>3306008</v>
      </c>
      <c r="W85" t="s">
        <v>79</v>
      </c>
      <c r="X85" t="s">
        <v>80</v>
      </c>
      <c r="Y85" t="n">
        <v>99076</v>
      </c>
      <c r="Z85" t="s">
        <v>78</v>
      </c>
      <c r="AA85" t="s">
        <v>61</v>
      </c>
      <c r="AB85" t="s">
        <v>81</v>
      </c>
      <c r="AC85" s="1" t="n">
        <v>45861</v>
      </c>
      <c r="AD85" s="1" t="n">
        <v>45862</v>
      </c>
      <c r="AE85" s="1" t="n">
        <v>45862</v>
      </c>
      <c r="AF85" s="1" t="n">
        <v>45861</v>
      </c>
      <c r="AG85" s="1" t="n">
        <v>45388</v>
      </c>
      <c r="AH85" t="n">
        <v>8955</v>
      </c>
      <c r="AI85" t="s">
        <v>63</v>
      </c>
      <c r="AJ85" t="s">
        <v>636</v>
      </c>
      <c r="AK85" t="s">
        <v>65</v>
      </c>
      <c r="AL85" t="s">
        <v>84</v>
      </c>
      <c r="AM85" t="s">
        <v>140</v>
      </c>
      <c r="AN85" t="n">
        <v>14.3</v>
      </c>
      <c r="AO85" t="n">
        <v>26.28</v>
      </c>
      <c r="AP85" t="n">
        <v>11.98</v>
      </c>
      <c r="AQ85" t="n">
        <v>-3.67</v>
      </c>
      <c r="AR85" t="n">
        <v>44.25</v>
      </c>
      <c r="AS85" t="s">
        <v>68</v>
      </c>
      <c r="AT85"/>
    </row>
    <row r="86">
      <c r="A86" t="s">
        <v>632</v>
      </c>
      <c r="B86" t="n">
        <v>8907226</v>
      </c>
      <c r="C86" t="s">
        <v>47</v>
      </c>
      <c r="D86" t="n">
        <v>5</v>
      </c>
      <c r="E86" t="s">
        <v>48</v>
      </c>
      <c r="F86" t="n">
        <v>120</v>
      </c>
      <c r="G86" t="s">
        <v>49</v>
      </c>
      <c r="H86" t="n">
        <v>606522</v>
      </c>
      <c r="I86"/>
      <c r="J86"/>
      <c r="K86" t="s">
        <v>129</v>
      </c>
      <c r="L86" t="s">
        <v>130</v>
      </c>
      <c r="M86" t="n">
        <v>0</v>
      </c>
      <c r="N86" t="n">
        <v>750</v>
      </c>
      <c r="O86" t="n">
        <v>26.28</v>
      </c>
      <c r="P86" t="n">
        <v>0</v>
      </c>
      <c r="Q86" t="s">
        <v>637</v>
      </c>
      <c r="R86" t="s">
        <v>638</v>
      </c>
      <c r="S86" t="s">
        <v>639</v>
      </c>
      <c r="T86" t="s">
        <v>77</v>
      </c>
      <c r="U86" t="s">
        <v>78</v>
      </c>
      <c r="V86" t="n">
        <v>3306008</v>
      </c>
      <c r="W86" t="s">
        <v>79</v>
      </c>
      <c r="X86" t="s">
        <v>80</v>
      </c>
      <c r="Y86" t="n">
        <v>99076</v>
      </c>
      <c r="Z86" t="s">
        <v>78</v>
      </c>
      <c r="AA86" t="s">
        <v>61</v>
      </c>
      <c r="AB86" t="s">
        <v>81</v>
      </c>
      <c r="AC86" s="1" t="n">
        <v>45861</v>
      </c>
      <c r="AD86" s="1" t="n">
        <v>45862</v>
      </c>
      <c r="AE86" s="1" t="n">
        <v>45862</v>
      </c>
      <c r="AF86" s="1" t="n">
        <v>45861</v>
      </c>
      <c r="AG86" s="1" t="n">
        <v>45388</v>
      </c>
      <c r="AH86" t="n">
        <v>8955</v>
      </c>
      <c r="AI86" t="s">
        <v>63</v>
      </c>
      <c r="AJ86" t="s">
        <v>636</v>
      </c>
      <c r="AK86" t="s">
        <v>65</v>
      </c>
      <c r="AL86" t="s">
        <v>84</v>
      </c>
      <c r="AM86" t="s">
        <v>140</v>
      </c>
      <c r="AN86" t="n">
        <v>14.3</v>
      </c>
      <c r="AO86" t="n">
        <v>26.28</v>
      </c>
      <c r="AP86" t="n">
        <v>11.98</v>
      </c>
      <c r="AQ86" t="n">
        <v>-3.67</v>
      </c>
      <c r="AR86" t="n">
        <v>44.25</v>
      </c>
      <c r="AS86" t="s">
        <v>68</v>
      </c>
      <c r="AT86"/>
    </row>
    <row r="87">
      <c r="A87" t="s">
        <v>640</v>
      </c>
      <c r="B87" t="n">
        <v>8868096</v>
      </c>
      <c r="C87" t="s">
        <v>70</v>
      </c>
      <c r="D87" t="n">
        <v>6</v>
      </c>
      <c r="E87" t="s">
        <v>71</v>
      </c>
      <c r="F87" t="n">
        <v>1</v>
      </c>
      <c r="G87" t="s">
        <v>49</v>
      </c>
      <c r="H87" t="n">
        <v>606522</v>
      </c>
      <c r="I87"/>
      <c r="J87" t="s">
        <v>50</v>
      </c>
      <c r="K87" t="s">
        <v>51</v>
      </c>
      <c r="L87" t="s">
        <v>52</v>
      </c>
      <c r="M87" t="n">
        <v>500</v>
      </c>
      <c r="N87" t="n">
        <v>150</v>
      </c>
      <c r="O87" t="n">
        <v>31.99</v>
      </c>
      <c r="P87" t="n">
        <v>0</v>
      </c>
      <c r="Q87" t="s">
        <v>625</v>
      </c>
      <c r="R87" t="s">
        <v>626</v>
      </c>
      <c r="S87" t="s">
        <v>627</v>
      </c>
      <c r="T87" t="s">
        <v>114</v>
      </c>
      <c r="U87" t="s">
        <v>115</v>
      </c>
      <c r="V87" t="n">
        <v>3106200</v>
      </c>
      <c r="W87" t="s">
        <v>116</v>
      </c>
      <c r="X87" t="s">
        <v>117</v>
      </c>
      <c r="Y87" t="n">
        <v>38722</v>
      </c>
      <c r="Z87" t="s">
        <v>115</v>
      </c>
      <c r="AA87" t="s">
        <v>61</v>
      </c>
      <c r="AB87" t="s">
        <v>62</v>
      </c>
      <c r="AC87" s="1" t="n">
        <v>45859</v>
      </c>
      <c r="AD87" s="1" t="n">
        <v>45860</v>
      </c>
      <c r="AE87" s="1" t="n">
        <v>45860</v>
      </c>
      <c r="AF87" s="1" t="n">
        <v>45859</v>
      </c>
      <c r="AG87" s="1" t="n">
        <v>45352</v>
      </c>
      <c r="AH87" t="n">
        <v>8955</v>
      </c>
      <c r="AI87" t="s">
        <v>63</v>
      </c>
      <c r="AJ87" t="s">
        <v>641</v>
      </c>
      <c r="AK87" t="s">
        <v>65</v>
      </c>
      <c r="AL87" t="s">
        <v>84</v>
      </c>
      <c r="AM87" t="s">
        <v>85</v>
      </c>
      <c r="AN87" t="n">
        <v>20.95</v>
      </c>
      <c r="AO87" t="n">
        <v>30.7825</v>
      </c>
      <c r="AP87" t="n">
        <v>9.8325</v>
      </c>
      <c r="AQ87" t="n">
        <v>6.20125</v>
      </c>
      <c r="AR87" t="n">
        <v>45.53125</v>
      </c>
      <c r="AS87" t="s">
        <v>68</v>
      </c>
      <c r="AT87"/>
    </row>
    <row r="88">
      <c r="A88" t="s">
        <v>642</v>
      </c>
      <c r="B88" t="n">
        <v>8831054</v>
      </c>
      <c r="C88" t="s">
        <v>70</v>
      </c>
      <c r="D88" t="n">
        <v>6</v>
      </c>
      <c r="E88" t="s">
        <v>71</v>
      </c>
      <c r="F88" t="n">
        <v>1</v>
      </c>
      <c r="G88" t="s">
        <v>49</v>
      </c>
      <c r="H88" t="n">
        <v>606522</v>
      </c>
      <c r="I88"/>
      <c r="J88" t="s">
        <v>50</v>
      </c>
      <c r="K88" t="s">
        <v>51</v>
      </c>
      <c r="L88" t="s">
        <v>52</v>
      </c>
      <c r="M88" t="n">
        <v>500</v>
      </c>
      <c r="N88" t="n">
        <v>250</v>
      </c>
      <c r="O88" t="n">
        <v>24.74</v>
      </c>
      <c r="P88" t="n">
        <v>0</v>
      </c>
      <c r="Q88" t="s">
        <v>380</v>
      </c>
      <c r="R88" t="s">
        <v>381</v>
      </c>
      <c r="S88" t="s">
        <v>643</v>
      </c>
      <c r="T88" t="s">
        <v>301</v>
      </c>
      <c r="U88" t="s">
        <v>302</v>
      </c>
      <c r="V88" t="n">
        <v>5208707</v>
      </c>
      <c r="W88" t="s">
        <v>303</v>
      </c>
      <c r="X88" t="s">
        <v>295</v>
      </c>
      <c r="Y88" t="n">
        <v>38920</v>
      </c>
      <c r="Z88" t="s">
        <v>304</v>
      </c>
      <c r="AA88" t="s">
        <v>61</v>
      </c>
      <c r="AB88" t="s">
        <v>62</v>
      </c>
      <c r="AC88" s="1" t="n">
        <v>45854</v>
      </c>
      <c r="AD88" s="1" t="n">
        <v>45861</v>
      </c>
      <c r="AE88" s="1" t="n">
        <v>45855</v>
      </c>
      <c r="AF88" s="1" t="n">
        <v>45854</v>
      </c>
      <c r="AG88" s="1" t="n">
        <v>45008</v>
      </c>
      <c r="AH88" t="n">
        <v>8955</v>
      </c>
      <c r="AI88" t="s">
        <v>63</v>
      </c>
      <c r="AJ88" t="s">
        <v>644</v>
      </c>
      <c r="AK88" t="s">
        <v>65</v>
      </c>
      <c r="AL88" t="s">
        <v>272</v>
      </c>
      <c r="AM88" t="s">
        <v>85</v>
      </c>
      <c r="AN88" t="n">
        <v>20.95</v>
      </c>
      <c r="AO88" t="n">
        <v>30.7825</v>
      </c>
      <c r="AP88" t="n">
        <v>9.8325</v>
      </c>
      <c r="AQ88" t="n">
        <v>6.20125</v>
      </c>
      <c r="AR88" t="n">
        <v>45.53125</v>
      </c>
      <c r="AS88" t="s">
        <v>68</v>
      </c>
      <c r="AT88"/>
    </row>
    <row r="89">
      <c r="A89" t="s">
        <v>645</v>
      </c>
      <c r="B89" t="n">
        <v>8841470</v>
      </c>
      <c r="C89" t="s">
        <v>70</v>
      </c>
      <c r="D89" t="n">
        <v>6</v>
      </c>
      <c r="E89" t="s">
        <v>568</v>
      </c>
      <c r="F89" t="n">
        <v>1</v>
      </c>
      <c r="G89" t="s">
        <v>49</v>
      </c>
      <c r="H89" t="n">
        <v>606522</v>
      </c>
      <c r="I89"/>
      <c r="J89" t="s">
        <v>50</v>
      </c>
      <c r="K89" t="s">
        <v>51</v>
      </c>
      <c r="L89" t="s">
        <v>52</v>
      </c>
      <c r="M89" t="n">
        <v>250</v>
      </c>
      <c r="N89" t="n">
        <v>640</v>
      </c>
      <c r="O89" t="n">
        <v>19.5</v>
      </c>
      <c r="P89" t="n">
        <v>0</v>
      </c>
      <c r="Q89" t="s">
        <v>646</v>
      </c>
      <c r="R89" t="s">
        <v>647</v>
      </c>
      <c r="S89" t="s">
        <v>249</v>
      </c>
      <c r="T89" t="s">
        <v>571</v>
      </c>
      <c r="U89" t="s">
        <v>572</v>
      </c>
      <c r="V89" t="n">
        <v>2507507</v>
      </c>
      <c r="W89" t="s">
        <v>573</v>
      </c>
      <c r="X89" t="s">
        <v>574</v>
      </c>
      <c r="Y89" t="n">
        <v>94553</v>
      </c>
      <c r="Z89" t="s">
        <v>572</v>
      </c>
      <c r="AA89" t="s">
        <v>61</v>
      </c>
      <c r="AB89" t="s">
        <v>61</v>
      </c>
      <c r="AC89" s="1" t="n">
        <v>45853</v>
      </c>
      <c r="AD89" s="1" t="n">
        <v>45855</v>
      </c>
      <c r="AE89" s="1" t="n">
        <v>45855</v>
      </c>
      <c r="AF89" s="1" t="n">
        <v>45854</v>
      </c>
      <c r="AG89" s="1" t="n">
        <v>45389</v>
      </c>
      <c r="AH89" t="n">
        <v>8955</v>
      </c>
      <c r="AI89" t="s">
        <v>63</v>
      </c>
      <c r="AJ89" t="s">
        <v>648</v>
      </c>
      <c r="AK89" t="s">
        <v>230</v>
      </c>
      <c r="AL89" t="s">
        <v>151</v>
      </c>
      <c r="AM89" t="s">
        <v>67</v>
      </c>
      <c r="AN89" t="n">
        <v>13.22</v>
      </c>
      <c r="AO89" t="n">
        <v>16.9</v>
      </c>
      <c r="AP89" t="n">
        <v>3.68</v>
      </c>
      <c r="AQ89" t="n">
        <v>7.7</v>
      </c>
      <c r="AR89" t="n">
        <v>22.42</v>
      </c>
      <c r="AS89" t="s">
        <v>68</v>
      </c>
      <c r="AT89"/>
    </row>
    <row r="90">
      <c r="A90" t="s">
        <v>649</v>
      </c>
      <c r="B90" t="n">
        <v>8830663</v>
      </c>
      <c r="C90" t="s">
        <v>70</v>
      </c>
      <c r="D90" t="n">
        <v>6</v>
      </c>
      <c r="E90" t="s">
        <v>71</v>
      </c>
      <c r="F90" t="n">
        <v>2</v>
      </c>
      <c r="G90" t="s">
        <v>49</v>
      </c>
      <c r="H90" t="n">
        <v>606522</v>
      </c>
      <c r="I90"/>
      <c r="J90" t="s">
        <v>50</v>
      </c>
      <c r="K90" t="s">
        <v>51</v>
      </c>
      <c r="L90" t="s">
        <v>52</v>
      </c>
      <c r="M90" t="n">
        <v>500</v>
      </c>
      <c r="N90" t="n">
        <v>70</v>
      </c>
      <c r="O90" t="n">
        <v>27</v>
      </c>
      <c r="P90" t="n">
        <v>0</v>
      </c>
      <c r="Q90" t="s">
        <v>142</v>
      </c>
      <c r="R90" t="s">
        <v>143</v>
      </c>
      <c r="S90" t="s">
        <v>650</v>
      </c>
      <c r="T90" t="s">
        <v>651</v>
      </c>
      <c r="U90" t="s">
        <v>652</v>
      </c>
      <c r="V90" t="n">
        <v>5103403</v>
      </c>
      <c r="W90" t="s">
        <v>601</v>
      </c>
      <c r="X90" t="s">
        <v>602</v>
      </c>
      <c r="Y90" t="n">
        <v>38509</v>
      </c>
      <c r="Z90" t="s">
        <v>653</v>
      </c>
      <c r="AA90" t="s">
        <v>61</v>
      </c>
      <c r="AB90" t="s">
        <v>62</v>
      </c>
      <c r="AC90" s="1" t="n">
        <v>45854</v>
      </c>
      <c r="AD90" s="1" t="n">
        <v>45855</v>
      </c>
      <c r="AE90" s="1" t="n">
        <v>45855</v>
      </c>
      <c r="AF90" s="1" t="n">
        <v>45854</v>
      </c>
      <c r="AG90" s="1" t="n">
        <v>45870</v>
      </c>
      <c r="AH90" t="n">
        <v>8955</v>
      </c>
      <c r="AI90" t="s">
        <v>63</v>
      </c>
      <c r="AJ90" t="s">
        <v>654</v>
      </c>
      <c r="AK90" t="s">
        <v>65</v>
      </c>
      <c r="AL90" t="s">
        <v>272</v>
      </c>
      <c r="AM90" t="s">
        <v>85</v>
      </c>
      <c r="AN90" t="n">
        <v>20.95</v>
      </c>
      <c r="AO90" t="n">
        <v>30.7825</v>
      </c>
      <c r="AP90" t="n">
        <v>9.8325</v>
      </c>
      <c r="AQ90" t="n">
        <v>6.20125</v>
      </c>
      <c r="AR90" t="n">
        <v>45.53125</v>
      </c>
      <c r="AS90" t="s">
        <v>68</v>
      </c>
      <c r="AT90"/>
    </row>
    <row r="91">
      <c r="A91" t="s">
        <v>655</v>
      </c>
      <c r="B91" t="n">
        <v>8520992</v>
      </c>
      <c r="C91" t="s">
        <v>47</v>
      </c>
      <c r="D91" t="n">
        <v>5</v>
      </c>
      <c r="E91" t="s">
        <v>48</v>
      </c>
      <c r="F91" t="n">
        <v>7</v>
      </c>
      <c r="G91" t="s">
        <v>49</v>
      </c>
      <c r="H91" t="n">
        <v>606522</v>
      </c>
      <c r="I91"/>
      <c r="J91" t="s">
        <v>399</v>
      </c>
      <c r="K91" t="s">
        <v>51</v>
      </c>
      <c r="L91" t="s">
        <v>52</v>
      </c>
      <c r="M91" t="n">
        <v>1</v>
      </c>
      <c r="N91" t="n">
        <v>47669</v>
      </c>
      <c r="O91" t="n">
        <v>45.5</v>
      </c>
      <c r="P91" t="n">
        <v>0</v>
      </c>
      <c r="Q91" t="s">
        <v>656</v>
      </c>
      <c r="R91" t="s">
        <v>657</v>
      </c>
      <c r="S91" t="s">
        <v>658</v>
      </c>
      <c r="T91" t="s">
        <v>659</v>
      </c>
      <c r="U91" t="s">
        <v>660</v>
      </c>
      <c r="V91" t="n">
        <v>1302603</v>
      </c>
      <c r="W91" t="s">
        <v>136</v>
      </c>
      <c r="X91" t="s">
        <v>137</v>
      </c>
      <c r="Y91" t="n">
        <v>52121</v>
      </c>
      <c r="Z91" t="s">
        <v>661</v>
      </c>
      <c r="AA91" t="s">
        <v>61</v>
      </c>
      <c r="AB91" t="s">
        <v>62</v>
      </c>
      <c r="AC91" s="1" t="n">
        <v>45852</v>
      </c>
      <c r="AD91" s="1" t="n">
        <v>45853</v>
      </c>
      <c r="AE91" s="1" t="n">
        <v>45853</v>
      </c>
      <c r="AF91" s="1" t="n">
        <v>45852</v>
      </c>
      <c r="AG91" s="1" t="n">
        <v>45891</v>
      </c>
      <c r="AH91" t="n">
        <v>8955</v>
      </c>
      <c r="AI91" t="s">
        <v>63</v>
      </c>
      <c r="AJ91" t="s">
        <v>662</v>
      </c>
      <c r="AK91" t="s">
        <v>65</v>
      </c>
      <c r="AL91" t="s">
        <v>66</v>
      </c>
      <c r="AM91" t="s">
        <v>407</v>
      </c>
      <c r="AN91" t="n">
        <v>45.5</v>
      </c>
      <c r="AO91" t="n">
        <v>63.36</v>
      </c>
      <c r="AP91" t="n">
        <v>17.86</v>
      </c>
      <c r="AQ91" t="n">
        <v>18.71</v>
      </c>
      <c r="AR91" t="n">
        <v>90.15</v>
      </c>
      <c r="AS91" t="s">
        <v>68</v>
      </c>
      <c r="AT91"/>
    </row>
    <row r="92">
      <c r="A92" t="s">
        <v>655</v>
      </c>
      <c r="B92" t="n">
        <v>8520993</v>
      </c>
      <c r="C92" t="s">
        <v>47</v>
      </c>
      <c r="D92" t="n">
        <v>5</v>
      </c>
      <c r="E92" t="s">
        <v>48</v>
      </c>
      <c r="F92" t="n">
        <v>8</v>
      </c>
      <c r="G92" t="s">
        <v>49</v>
      </c>
      <c r="H92" t="n">
        <v>606522</v>
      </c>
      <c r="I92"/>
      <c r="J92" t="s">
        <v>399</v>
      </c>
      <c r="K92" t="s">
        <v>51</v>
      </c>
      <c r="L92" t="s">
        <v>52</v>
      </c>
      <c r="M92" t="n">
        <v>1</v>
      </c>
      <c r="N92" t="n">
        <v>1331</v>
      </c>
      <c r="O92" t="n">
        <v>45.5</v>
      </c>
      <c r="P92" t="n">
        <v>0</v>
      </c>
      <c r="Q92" t="s">
        <v>656</v>
      </c>
      <c r="R92" t="s">
        <v>657</v>
      </c>
      <c r="S92" t="s">
        <v>663</v>
      </c>
      <c r="T92" t="s">
        <v>659</v>
      </c>
      <c r="U92" t="s">
        <v>660</v>
      </c>
      <c r="V92" t="n">
        <v>1302603</v>
      </c>
      <c r="W92" t="s">
        <v>136</v>
      </c>
      <c r="X92" t="s">
        <v>137</v>
      </c>
      <c r="Y92" t="n">
        <v>52121</v>
      </c>
      <c r="Z92" t="s">
        <v>661</v>
      </c>
      <c r="AA92" t="s">
        <v>61</v>
      </c>
      <c r="AB92" t="s">
        <v>62</v>
      </c>
      <c r="AC92" s="1" t="n">
        <v>45852</v>
      </c>
      <c r="AD92" s="1" t="n">
        <v>45853</v>
      </c>
      <c r="AE92" s="1" t="n">
        <v>45853</v>
      </c>
      <c r="AF92" s="1" t="n">
        <v>45852</v>
      </c>
      <c r="AG92" s="1" t="n">
        <v>45891</v>
      </c>
      <c r="AH92" t="n">
        <v>8955</v>
      </c>
      <c r="AI92" t="s">
        <v>63</v>
      </c>
      <c r="AJ92" t="s">
        <v>662</v>
      </c>
      <c r="AK92" t="s">
        <v>65</v>
      </c>
      <c r="AL92" t="s">
        <v>66</v>
      </c>
      <c r="AM92" t="s">
        <v>407</v>
      </c>
      <c r="AN92" t="n">
        <v>45.5</v>
      </c>
      <c r="AO92" t="n">
        <v>63.36</v>
      </c>
      <c r="AP92" t="n">
        <v>17.86</v>
      </c>
      <c r="AQ92" t="n">
        <v>18.71</v>
      </c>
      <c r="AR92" t="n">
        <v>90.15</v>
      </c>
      <c r="AS92" t="s">
        <v>68</v>
      </c>
      <c r="AT92"/>
    </row>
    <row r="93">
      <c r="A93" t="s">
        <v>664</v>
      </c>
      <c r="B93" t="n">
        <v>8748284</v>
      </c>
      <c r="C93" t="s">
        <v>47</v>
      </c>
      <c r="D93" t="n">
        <v>5</v>
      </c>
      <c r="E93" t="s">
        <v>48</v>
      </c>
      <c r="F93" t="n">
        <v>3</v>
      </c>
      <c r="G93" t="s">
        <v>49</v>
      </c>
      <c r="H93" t="n">
        <v>606522</v>
      </c>
      <c r="I93"/>
      <c r="J93" t="s">
        <v>50</v>
      </c>
      <c r="K93" t="s">
        <v>51</v>
      </c>
      <c r="L93" t="s">
        <v>52</v>
      </c>
      <c r="M93" t="n">
        <v>500</v>
      </c>
      <c r="N93" t="n">
        <v>300</v>
      </c>
      <c r="O93" t="n">
        <v>15.99</v>
      </c>
      <c r="P93" t="n">
        <v>0</v>
      </c>
      <c r="Q93" t="s">
        <v>665</v>
      </c>
      <c r="R93" t="s">
        <v>666</v>
      </c>
      <c r="S93" t="s">
        <v>667</v>
      </c>
      <c r="T93" t="s">
        <v>668</v>
      </c>
      <c r="U93" t="s">
        <v>669</v>
      </c>
      <c r="V93" t="n">
        <v>3111200</v>
      </c>
      <c r="W93" t="s">
        <v>670</v>
      </c>
      <c r="X93" t="s">
        <v>117</v>
      </c>
      <c r="Y93" t="n">
        <v>95215</v>
      </c>
      <c r="Z93" t="s">
        <v>669</v>
      </c>
      <c r="AA93" t="s">
        <v>61</v>
      </c>
      <c r="AB93" t="s">
        <v>81</v>
      </c>
      <c r="AC93" s="1" t="n">
        <v>45845</v>
      </c>
      <c r="AD93" s="1" t="n">
        <v>45846</v>
      </c>
      <c r="AE93" s="1" t="n">
        <v>45846</v>
      </c>
      <c r="AF93" s="1" t="n">
        <v>45845</v>
      </c>
      <c r="AG93" s="1" t="n">
        <v>45400</v>
      </c>
      <c r="AH93" t="n">
        <v>8955</v>
      </c>
      <c r="AI93" t="s">
        <v>63</v>
      </c>
      <c r="AJ93" t="s">
        <v>671</v>
      </c>
      <c r="AK93" t="s">
        <v>65</v>
      </c>
      <c r="AL93" t="s">
        <v>84</v>
      </c>
      <c r="AM93" t="s">
        <v>85</v>
      </c>
      <c r="AN93" t="n">
        <v>20.95</v>
      </c>
      <c r="AO93" t="n">
        <v>30.7825</v>
      </c>
      <c r="AP93" t="n">
        <v>9.8325</v>
      </c>
      <c r="AQ93" t="n">
        <v>6.20125</v>
      </c>
      <c r="AR93" t="n">
        <v>45.53125</v>
      </c>
      <c r="AS93" t="s">
        <v>68</v>
      </c>
      <c r="AT93"/>
    </row>
    <row r="94">
      <c r="A94" t="s">
        <v>664</v>
      </c>
      <c r="B94" t="n">
        <v>8748282</v>
      </c>
      <c r="C94" t="s">
        <v>47</v>
      </c>
      <c r="D94" t="n">
        <v>5</v>
      </c>
      <c r="E94" t="s">
        <v>48</v>
      </c>
      <c r="F94" t="n">
        <v>1</v>
      </c>
      <c r="G94" t="s">
        <v>49</v>
      </c>
      <c r="H94" t="n">
        <v>606522</v>
      </c>
      <c r="I94"/>
      <c r="J94" t="s">
        <v>50</v>
      </c>
      <c r="K94" t="s">
        <v>51</v>
      </c>
      <c r="L94" t="s">
        <v>52</v>
      </c>
      <c r="M94" t="n">
        <v>500</v>
      </c>
      <c r="N94" t="n">
        <v>2700</v>
      </c>
      <c r="O94" t="n">
        <v>15.99</v>
      </c>
      <c r="P94" t="n">
        <v>0</v>
      </c>
      <c r="Q94" t="s">
        <v>665</v>
      </c>
      <c r="R94" t="s">
        <v>666</v>
      </c>
      <c r="S94" t="s">
        <v>667</v>
      </c>
      <c r="T94" t="s">
        <v>668</v>
      </c>
      <c r="U94" t="s">
        <v>669</v>
      </c>
      <c r="V94" t="n">
        <v>3111200</v>
      </c>
      <c r="W94" t="s">
        <v>670</v>
      </c>
      <c r="X94" t="s">
        <v>117</v>
      </c>
      <c r="Y94" t="n">
        <v>95215</v>
      </c>
      <c r="Z94" t="s">
        <v>669</v>
      </c>
      <c r="AA94" t="s">
        <v>61</v>
      </c>
      <c r="AB94" t="s">
        <v>81</v>
      </c>
      <c r="AC94" s="1" t="n">
        <v>45845</v>
      </c>
      <c r="AD94" s="1" t="n">
        <v>45846</v>
      </c>
      <c r="AE94" s="1" t="n">
        <v>45846</v>
      </c>
      <c r="AF94" s="1" t="n">
        <v>45845</v>
      </c>
      <c r="AG94" s="1" t="n">
        <v>45400</v>
      </c>
      <c r="AH94" t="n">
        <v>8955</v>
      </c>
      <c r="AI94" t="s">
        <v>63</v>
      </c>
      <c r="AJ94" t="s">
        <v>671</v>
      </c>
      <c r="AK94" t="s">
        <v>65</v>
      </c>
      <c r="AL94" t="s">
        <v>84</v>
      </c>
      <c r="AM94" t="s">
        <v>85</v>
      </c>
      <c r="AN94" t="n">
        <v>20.95</v>
      </c>
      <c r="AO94" t="n">
        <v>30.7825</v>
      </c>
      <c r="AP94" t="n">
        <v>9.8325</v>
      </c>
      <c r="AQ94" t="n">
        <v>6.20125</v>
      </c>
      <c r="AR94" t="n">
        <v>45.53125</v>
      </c>
      <c r="AS94" t="s">
        <v>68</v>
      </c>
      <c r="AT94"/>
    </row>
    <row r="95">
      <c r="A95" t="s">
        <v>672</v>
      </c>
      <c r="B95" t="n">
        <v>8738350</v>
      </c>
      <c r="C95" t="s">
        <v>70</v>
      </c>
      <c r="D95" t="n">
        <v>6</v>
      </c>
      <c r="E95" t="s">
        <v>568</v>
      </c>
      <c r="F95" t="n">
        <v>1</v>
      </c>
      <c r="G95" t="s">
        <v>49</v>
      </c>
      <c r="H95" t="n">
        <v>606522</v>
      </c>
      <c r="I95"/>
      <c r="J95" t="s">
        <v>50</v>
      </c>
      <c r="K95" t="s">
        <v>72</v>
      </c>
      <c r="L95" t="s">
        <v>73</v>
      </c>
      <c r="M95" t="n">
        <v>250</v>
      </c>
      <c r="N95" t="n">
        <v>500</v>
      </c>
      <c r="O95" t="n">
        <v>21.45</v>
      </c>
      <c r="P95" t="n">
        <v>0</v>
      </c>
      <c r="Q95" t="s">
        <v>673</v>
      </c>
      <c r="R95" t="s">
        <v>674</v>
      </c>
      <c r="S95" t="s">
        <v>675</v>
      </c>
      <c r="T95" t="s">
        <v>676</v>
      </c>
      <c r="U95" t="s">
        <v>677</v>
      </c>
      <c r="V95" t="n">
        <v>2507507</v>
      </c>
      <c r="W95" t="s">
        <v>573</v>
      </c>
      <c r="X95" t="s">
        <v>574</v>
      </c>
      <c r="Y95" t="n">
        <v>20411</v>
      </c>
      <c r="Z95" t="s">
        <v>678</v>
      </c>
      <c r="AA95" t="s">
        <v>61</v>
      </c>
      <c r="AB95" t="s">
        <v>62</v>
      </c>
      <c r="AC95" s="1" t="n">
        <v>45841</v>
      </c>
      <c r="AD95" s="1" t="n">
        <v>45843</v>
      </c>
      <c r="AE95" s="1" t="n">
        <v>45843</v>
      </c>
      <c r="AF95" s="1" t="n">
        <v>45842</v>
      </c>
      <c r="AG95" s="1" t="n">
        <v>45849</v>
      </c>
      <c r="AH95" t="n">
        <v>8955</v>
      </c>
      <c r="AI95" t="s">
        <v>63</v>
      </c>
      <c r="AJ95" t="s">
        <v>679</v>
      </c>
      <c r="AK95" t="s">
        <v>230</v>
      </c>
      <c r="AL95" t="s">
        <v>151</v>
      </c>
      <c r="AM95" t="s">
        <v>67</v>
      </c>
      <c r="AN95" t="n">
        <v>13.22</v>
      </c>
      <c r="AO95" t="n">
        <v>16.9</v>
      </c>
      <c r="AP95" t="n">
        <v>3.68</v>
      </c>
      <c r="AQ95" t="n">
        <v>7.7</v>
      </c>
      <c r="AR95" t="n">
        <v>22.42</v>
      </c>
      <c r="AS95" t="s">
        <v>68</v>
      </c>
      <c r="AT95"/>
    </row>
    <row r="96">
      <c r="A96" t="s">
        <v>680</v>
      </c>
      <c r="B96" t="n">
        <v>8666628</v>
      </c>
      <c r="C96" t="s">
        <v>70</v>
      </c>
      <c r="D96" t="n">
        <v>6</v>
      </c>
      <c r="E96" t="s">
        <v>71</v>
      </c>
      <c r="F96" t="n">
        <v>2</v>
      </c>
      <c r="G96" t="s">
        <v>49</v>
      </c>
      <c r="H96" t="n">
        <v>606522</v>
      </c>
      <c r="I96"/>
      <c r="J96" t="s">
        <v>50</v>
      </c>
      <c r="K96" t="s">
        <v>51</v>
      </c>
      <c r="L96" t="s">
        <v>52</v>
      </c>
      <c r="M96" t="n">
        <v>250</v>
      </c>
      <c r="N96" t="n">
        <v>280</v>
      </c>
      <c r="O96" t="n">
        <v>15.39</v>
      </c>
      <c r="P96" t="n">
        <v>0</v>
      </c>
      <c r="Q96" t="s">
        <v>95</v>
      </c>
      <c r="R96" t="s">
        <v>96</v>
      </c>
      <c r="S96" t="s">
        <v>681</v>
      </c>
      <c r="T96" t="s">
        <v>682</v>
      </c>
      <c r="U96" t="s">
        <v>683</v>
      </c>
      <c r="V96" t="n">
        <v>2800308</v>
      </c>
      <c r="W96" t="s">
        <v>684</v>
      </c>
      <c r="X96" t="s">
        <v>685</v>
      </c>
      <c r="Y96" t="n">
        <v>22000</v>
      </c>
      <c r="Z96" t="s">
        <v>686</v>
      </c>
      <c r="AA96" t="s">
        <v>61</v>
      </c>
      <c r="AB96" t="s">
        <v>62</v>
      </c>
      <c r="AC96" s="1" t="n">
        <v>45838</v>
      </c>
      <c r="AD96" s="1" t="n">
        <v>45840</v>
      </c>
      <c r="AE96" s="1" t="n">
        <v>45839</v>
      </c>
      <c r="AF96" s="1" t="n">
        <v>45838</v>
      </c>
      <c r="AG96" s="1" t="n">
        <v>46083</v>
      </c>
      <c r="AH96" t="n">
        <v>8955</v>
      </c>
      <c r="AI96" t="s">
        <v>63</v>
      </c>
      <c r="AJ96" t="s">
        <v>687</v>
      </c>
      <c r="AK96" t="s">
        <v>65</v>
      </c>
      <c r="AL96" t="s">
        <v>151</v>
      </c>
      <c r="AM96" t="s">
        <v>67</v>
      </c>
      <c r="AN96" t="n">
        <v>13.22</v>
      </c>
      <c r="AO96" t="n">
        <v>16.9</v>
      </c>
      <c r="AP96" t="n">
        <v>3.68</v>
      </c>
      <c r="AQ96" t="n">
        <v>7.7</v>
      </c>
      <c r="AR96" t="n">
        <v>22.42</v>
      </c>
      <c r="AS96" t="s">
        <v>68</v>
      </c>
      <c r="AT96"/>
    </row>
    <row r="97">
      <c r="A97" t="s">
        <v>688</v>
      </c>
      <c r="B97" t="n">
        <v>8663561</v>
      </c>
      <c r="C97" t="s">
        <v>47</v>
      </c>
      <c r="D97" t="n">
        <v>5</v>
      </c>
      <c r="E97" t="s">
        <v>48</v>
      </c>
      <c r="F97" t="n">
        <v>1</v>
      </c>
      <c r="G97" t="s">
        <v>49</v>
      </c>
      <c r="H97" t="n">
        <v>606522</v>
      </c>
      <c r="I97"/>
      <c r="J97"/>
      <c r="K97" t="s">
        <v>129</v>
      </c>
      <c r="L97" t="s">
        <v>130</v>
      </c>
      <c r="M97" t="n">
        <v>0</v>
      </c>
      <c r="N97" t="n">
        <v>2000</v>
      </c>
      <c r="O97" t="n">
        <v>18.08</v>
      </c>
      <c r="P97" t="n">
        <v>0</v>
      </c>
      <c r="Q97" t="s">
        <v>689</v>
      </c>
      <c r="R97" t="s">
        <v>690</v>
      </c>
      <c r="S97" t="s">
        <v>691</v>
      </c>
      <c r="T97" t="s">
        <v>692</v>
      </c>
      <c r="U97" t="s">
        <v>693</v>
      </c>
      <c r="V97" t="n">
        <v>1500602</v>
      </c>
      <c r="W97" t="s">
        <v>694</v>
      </c>
      <c r="X97" t="s">
        <v>506</v>
      </c>
      <c r="Y97" t="n">
        <v>36000</v>
      </c>
      <c r="Z97" t="s">
        <v>338</v>
      </c>
      <c r="AA97" t="s">
        <v>61</v>
      </c>
      <c r="AB97" t="s">
        <v>62</v>
      </c>
      <c r="AC97" s="1" t="n">
        <v>45835</v>
      </c>
      <c r="AD97" s="1" t="n">
        <v>45836</v>
      </c>
      <c r="AE97" s="1" t="n">
        <v>45836</v>
      </c>
      <c r="AF97" s="1" t="n">
        <v>45835</v>
      </c>
      <c r="AG97" s="1" t="n">
        <v>45113</v>
      </c>
      <c r="AH97" t="n">
        <v>8955</v>
      </c>
      <c r="AI97" t="s">
        <v>63</v>
      </c>
      <c r="AJ97" t="s">
        <v>695</v>
      </c>
      <c r="AK97" t="s">
        <v>65</v>
      </c>
      <c r="AL97" t="s">
        <v>66</v>
      </c>
      <c r="AM97" t="s">
        <v>140</v>
      </c>
      <c r="AN97" t="n">
        <v>14.3</v>
      </c>
      <c r="AO97" t="n">
        <v>26.28</v>
      </c>
      <c r="AP97" t="n">
        <v>11.98</v>
      </c>
      <c r="AQ97" t="n">
        <v>-3.67</v>
      </c>
      <c r="AR97" t="n">
        <v>44.25</v>
      </c>
      <c r="AS97" t="s">
        <v>68</v>
      </c>
      <c r="AT97"/>
    </row>
    <row r="98">
      <c r="A98" t="s">
        <v>696</v>
      </c>
      <c r="B98" t="n">
        <v>8640641</v>
      </c>
      <c r="C98" t="s">
        <v>47</v>
      </c>
      <c r="D98" t="n">
        <v>5</v>
      </c>
      <c r="E98" t="s">
        <v>48</v>
      </c>
      <c r="F98" t="n">
        <v>1</v>
      </c>
      <c r="G98" t="s">
        <v>49</v>
      </c>
      <c r="H98" t="n">
        <v>606522</v>
      </c>
      <c r="I98"/>
      <c r="J98" t="s">
        <v>50</v>
      </c>
      <c r="K98" t="s">
        <v>51</v>
      </c>
      <c r="L98" t="s">
        <v>52</v>
      </c>
      <c r="M98" t="n">
        <v>500</v>
      </c>
      <c r="N98" t="n">
        <v>18150</v>
      </c>
      <c r="O98" t="n">
        <v>18</v>
      </c>
      <c r="P98" t="n">
        <v>0</v>
      </c>
      <c r="Q98" t="s">
        <v>697</v>
      </c>
      <c r="R98" t="s">
        <v>698</v>
      </c>
      <c r="S98" t="s">
        <v>699</v>
      </c>
      <c r="T98" t="s">
        <v>700</v>
      </c>
      <c r="U98" t="s">
        <v>701</v>
      </c>
      <c r="V98" t="n">
        <v>3550308</v>
      </c>
      <c r="W98" t="s">
        <v>463</v>
      </c>
      <c r="X98" t="s">
        <v>253</v>
      </c>
      <c r="Y98" t="n">
        <v>86641</v>
      </c>
      <c r="Z98" t="s">
        <v>702</v>
      </c>
      <c r="AA98" t="s">
        <v>61</v>
      </c>
      <c r="AB98" t="s">
        <v>61</v>
      </c>
      <c r="AC98" s="1" t="n">
        <v>45834</v>
      </c>
      <c r="AD98" s="1" t="n">
        <v>45835</v>
      </c>
      <c r="AE98" s="1" t="n">
        <v>45835</v>
      </c>
      <c r="AF98" s="1" t="n">
        <v>45834</v>
      </c>
      <c r="AG98" s="1" t="n">
        <v>45750</v>
      </c>
      <c r="AH98" t="n">
        <v>8955</v>
      </c>
      <c r="AI98" t="s">
        <v>63</v>
      </c>
      <c r="AJ98" t="s">
        <v>703</v>
      </c>
      <c r="AK98" t="s">
        <v>65</v>
      </c>
      <c r="AL98" t="s">
        <v>84</v>
      </c>
      <c r="AM98" t="s">
        <v>85</v>
      </c>
      <c r="AN98" t="n">
        <v>20.95</v>
      </c>
      <c r="AO98" t="n">
        <v>30.7825</v>
      </c>
      <c r="AP98" t="n">
        <v>9.8325</v>
      </c>
      <c r="AQ98" t="n">
        <v>6.20125</v>
      </c>
      <c r="AR98" t="n">
        <v>45.53125</v>
      </c>
      <c r="AS98" t="s">
        <v>68</v>
      </c>
      <c r="AT98"/>
    </row>
    <row r="99">
      <c r="A99" t="s">
        <v>704</v>
      </c>
      <c r="B99" t="n">
        <v>8551719</v>
      </c>
      <c r="C99" t="s">
        <v>70</v>
      </c>
      <c r="D99" t="n">
        <v>5</v>
      </c>
      <c r="E99" t="s">
        <v>48</v>
      </c>
      <c r="F99" t="n">
        <v>2</v>
      </c>
      <c r="G99" t="s">
        <v>49</v>
      </c>
      <c r="H99" t="n">
        <v>606522</v>
      </c>
      <c r="I99"/>
      <c r="J99" t="s">
        <v>50</v>
      </c>
      <c r="K99" t="s">
        <v>51</v>
      </c>
      <c r="L99" t="s">
        <v>52</v>
      </c>
      <c r="M99" t="n">
        <v>500</v>
      </c>
      <c r="N99" t="n">
        <v>400</v>
      </c>
      <c r="O99" t="n">
        <v>29.8</v>
      </c>
      <c r="P99" t="n">
        <v>0</v>
      </c>
      <c r="Q99" t="s">
        <v>705</v>
      </c>
      <c r="R99" t="s">
        <v>706</v>
      </c>
      <c r="S99" t="s">
        <v>707</v>
      </c>
      <c r="T99" t="s">
        <v>700</v>
      </c>
      <c r="U99" t="s">
        <v>701</v>
      </c>
      <c r="V99" t="n">
        <v>3550308</v>
      </c>
      <c r="W99" t="s">
        <v>463</v>
      </c>
      <c r="X99" t="s">
        <v>253</v>
      </c>
      <c r="Y99" t="n">
        <v>86641</v>
      </c>
      <c r="Z99" t="s">
        <v>702</v>
      </c>
      <c r="AA99" t="s">
        <v>61</v>
      </c>
      <c r="AB99" t="s">
        <v>61</v>
      </c>
      <c r="AC99" s="1" t="n">
        <v>45824</v>
      </c>
      <c r="AD99" s="1" t="n">
        <v>45825</v>
      </c>
      <c r="AE99" s="1" t="n">
        <v>45825</v>
      </c>
      <c r="AF99" s="1" t="n">
        <v>45824</v>
      </c>
      <c r="AG99" s="1" t="n">
        <v>45750</v>
      </c>
      <c r="AH99" t="n">
        <v>8955</v>
      </c>
      <c r="AI99" t="s">
        <v>63</v>
      </c>
      <c r="AJ99" t="s">
        <v>708</v>
      </c>
      <c r="AK99" t="s">
        <v>65</v>
      </c>
      <c r="AL99" t="s">
        <v>84</v>
      </c>
      <c r="AM99" t="s">
        <v>85</v>
      </c>
      <c r="AN99" t="n">
        <v>20.95</v>
      </c>
      <c r="AO99" t="n">
        <v>30.7825</v>
      </c>
      <c r="AP99" t="n">
        <v>9.8325</v>
      </c>
      <c r="AQ99" t="n">
        <v>6.20125</v>
      </c>
      <c r="AR99" t="n">
        <v>45.53125</v>
      </c>
      <c r="AS99" t="s">
        <v>68</v>
      </c>
      <c r="AT99"/>
    </row>
    <row r="100">
      <c r="A100" t="s">
        <v>709</v>
      </c>
      <c r="B100" t="n">
        <v>8544648</v>
      </c>
      <c r="C100" t="s">
        <v>47</v>
      </c>
      <c r="D100" t="n">
        <v>5</v>
      </c>
      <c r="E100" t="s">
        <v>48</v>
      </c>
      <c r="F100" t="n">
        <v>47</v>
      </c>
      <c r="G100" t="s">
        <v>49</v>
      </c>
      <c r="H100" t="n">
        <v>606522</v>
      </c>
      <c r="I100"/>
      <c r="J100"/>
      <c r="K100" t="s">
        <v>129</v>
      </c>
      <c r="L100" t="s">
        <v>130</v>
      </c>
      <c r="M100" t="n">
        <v>0</v>
      </c>
      <c r="N100" t="n">
        <v>3600</v>
      </c>
      <c r="O100" t="n">
        <v>14.3</v>
      </c>
      <c r="P100" t="n">
        <v>0</v>
      </c>
      <c r="Q100" t="s">
        <v>710</v>
      </c>
      <c r="R100" t="s">
        <v>711</v>
      </c>
      <c r="S100" t="s">
        <v>130</v>
      </c>
      <c r="T100" t="s">
        <v>388</v>
      </c>
      <c r="U100" t="s">
        <v>389</v>
      </c>
      <c r="V100" t="n">
        <v>3304557</v>
      </c>
      <c r="W100" t="s">
        <v>203</v>
      </c>
      <c r="X100" t="s">
        <v>80</v>
      </c>
      <c r="Y100" t="n">
        <v>52111</v>
      </c>
      <c r="Z100" t="s">
        <v>138</v>
      </c>
      <c r="AA100" t="s">
        <v>61</v>
      </c>
      <c r="AB100" t="s">
        <v>62</v>
      </c>
      <c r="AC100" s="1" t="n">
        <v>45824</v>
      </c>
      <c r="AD100" s="1" t="n">
        <v>45825</v>
      </c>
      <c r="AE100" s="1" t="n">
        <v>45825</v>
      </c>
      <c r="AF100" s="1" t="n">
        <v>45824</v>
      </c>
      <c r="AG100" s="1" t="n">
        <v>46086</v>
      </c>
      <c r="AH100" t="n">
        <v>8955</v>
      </c>
      <c r="AI100" t="s">
        <v>63</v>
      </c>
      <c r="AJ100" t="s">
        <v>712</v>
      </c>
      <c r="AK100" t="s">
        <v>65</v>
      </c>
      <c r="AL100" t="s">
        <v>84</v>
      </c>
      <c r="AM100" t="s">
        <v>140</v>
      </c>
      <c r="AN100" t="n">
        <v>14.3</v>
      </c>
      <c r="AO100" t="n">
        <v>26.28</v>
      </c>
      <c r="AP100" t="n">
        <v>11.98</v>
      </c>
      <c r="AQ100" t="n">
        <v>-3.67</v>
      </c>
      <c r="AR100" t="n">
        <v>44.25</v>
      </c>
      <c r="AS100" t="s">
        <v>68</v>
      </c>
      <c r="AT100"/>
    </row>
    <row r="101">
      <c r="A101" t="s">
        <v>709</v>
      </c>
      <c r="B101" t="n">
        <v>8544647</v>
      </c>
      <c r="C101" t="s">
        <v>47</v>
      </c>
      <c r="D101" t="n">
        <v>5</v>
      </c>
      <c r="E101" t="s">
        <v>48</v>
      </c>
      <c r="F101" t="n">
        <v>46</v>
      </c>
      <c r="G101" t="s">
        <v>49</v>
      </c>
      <c r="H101" t="n">
        <v>606522</v>
      </c>
      <c r="I101"/>
      <c r="J101"/>
      <c r="K101" t="s">
        <v>129</v>
      </c>
      <c r="L101" t="s">
        <v>130</v>
      </c>
      <c r="M101" t="n">
        <v>0</v>
      </c>
      <c r="N101" t="n">
        <v>14400</v>
      </c>
      <c r="O101" t="n">
        <v>14.3</v>
      </c>
      <c r="P101" t="n">
        <v>0</v>
      </c>
      <c r="Q101" t="s">
        <v>710</v>
      </c>
      <c r="R101" t="s">
        <v>711</v>
      </c>
      <c r="S101" t="s">
        <v>130</v>
      </c>
      <c r="T101" t="s">
        <v>388</v>
      </c>
      <c r="U101" t="s">
        <v>389</v>
      </c>
      <c r="V101" t="n">
        <v>3304557</v>
      </c>
      <c r="W101" t="s">
        <v>203</v>
      </c>
      <c r="X101" t="s">
        <v>80</v>
      </c>
      <c r="Y101" t="n">
        <v>52111</v>
      </c>
      <c r="Z101" t="s">
        <v>138</v>
      </c>
      <c r="AA101" t="s">
        <v>61</v>
      </c>
      <c r="AB101" t="s">
        <v>62</v>
      </c>
      <c r="AC101" s="1" t="n">
        <v>45824</v>
      </c>
      <c r="AD101" s="1" t="n">
        <v>45825</v>
      </c>
      <c r="AE101" s="1" t="n">
        <v>45825</v>
      </c>
      <c r="AF101" s="1" t="n">
        <v>45824</v>
      </c>
      <c r="AG101" s="1" t="n">
        <v>46086</v>
      </c>
      <c r="AH101" t="n">
        <v>8955</v>
      </c>
      <c r="AI101" t="s">
        <v>63</v>
      </c>
      <c r="AJ101" t="s">
        <v>712</v>
      </c>
      <c r="AK101" t="s">
        <v>65</v>
      </c>
      <c r="AL101" t="s">
        <v>84</v>
      </c>
      <c r="AM101" t="s">
        <v>140</v>
      </c>
      <c r="AN101" t="n">
        <v>14.3</v>
      </c>
      <c r="AO101" t="n">
        <v>26.28</v>
      </c>
      <c r="AP101" t="n">
        <v>11.98</v>
      </c>
      <c r="AQ101" t="n">
        <v>-3.67</v>
      </c>
      <c r="AR101" t="n">
        <v>44.25</v>
      </c>
      <c r="AS101" t="s">
        <v>68</v>
      </c>
      <c r="AT101"/>
    </row>
    <row r="102">
      <c r="A102" t="s">
        <v>713</v>
      </c>
      <c r="B102" t="n">
        <v>8527859</v>
      </c>
      <c r="C102" t="s">
        <v>70</v>
      </c>
      <c r="D102" t="n">
        <v>6</v>
      </c>
      <c r="E102" t="s">
        <v>71</v>
      </c>
      <c r="F102" t="n">
        <v>1</v>
      </c>
      <c r="G102" t="s">
        <v>49</v>
      </c>
      <c r="H102" t="n">
        <v>606522</v>
      </c>
      <c r="I102"/>
      <c r="J102"/>
      <c r="K102" t="s">
        <v>129</v>
      </c>
      <c r="L102" t="s">
        <v>130</v>
      </c>
      <c r="M102" t="n">
        <v>0</v>
      </c>
      <c r="N102" t="n">
        <v>200</v>
      </c>
      <c r="O102" t="n">
        <v>26</v>
      </c>
      <c r="P102" t="n">
        <v>0</v>
      </c>
      <c r="Q102" t="s">
        <v>705</v>
      </c>
      <c r="R102" t="s">
        <v>706</v>
      </c>
      <c r="S102" t="s">
        <v>714</v>
      </c>
      <c r="T102" t="s">
        <v>715</v>
      </c>
      <c r="U102" t="s">
        <v>716</v>
      </c>
      <c r="V102" t="n">
        <v>3508504</v>
      </c>
      <c r="W102" t="s">
        <v>717</v>
      </c>
      <c r="X102" t="s">
        <v>253</v>
      </c>
      <c r="Y102" t="n">
        <v>52121</v>
      </c>
      <c r="Z102" t="s">
        <v>661</v>
      </c>
      <c r="AA102" t="s">
        <v>61</v>
      </c>
      <c r="AB102" t="s">
        <v>62</v>
      </c>
      <c r="AC102" s="1" t="n">
        <v>45821</v>
      </c>
      <c r="AD102" s="1" t="n">
        <v>45822</v>
      </c>
      <c r="AE102" s="1" t="n">
        <v>45822</v>
      </c>
      <c r="AF102" s="1" t="n">
        <v>45821</v>
      </c>
      <c r="AG102" s="1" t="n">
        <v>46078</v>
      </c>
      <c r="AH102" t="n">
        <v>8955</v>
      </c>
      <c r="AI102" t="s">
        <v>63</v>
      </c>
      <c r="AJ102" t="s">
        <v>718</v>
      </c>
      <c r="AK102" t="s">
        <v>65</v>
      </c>
      <c r="AL102" t="s">
        <v>84</v>
      </c>
      <c r="AM102" t="s">
        <v>140</v>
      </c>
      <c r="AN102" t="n">
        <v>14.3</v>
      </c>
      <c r="AO102" t="n">
        <v>26.28</v>
      </c>
      <c r="AP102" t="n">
        <v>11.98</v>
      </c>
      <c r="AQ102" t="n">
        <v>-3.67</v>
      </c>
      <c r="AR102" t="n">
        <v>44.25</v>
      </c>
      <c r="AS102" t="s">
        <v>68</v>
      </c>
      <c r="AT102"/>
    </row>
    <row r="103">
      <c r="A103" t="s">
        <v>719</v>
      </c>
      <c r="B103" t="n">
        <v>8465561</v>
      </c>
      <c r="C103" t="s">
        <v>47</v>
      </c>
      <c r="D103" t="n">
        <v>5</v>
      </c>
      <c r="E103" t="s">
        <v>48</v>
      </c>
      <c r="F103" t="n">
        <v>1</v>
      </c>
      <c r="G103" t="s">
        <v>49</v>
      </c>
      <c r="H103" t="n">
        <v>606522</v>
      </c>
      <c r="I103"/>
      <c r="J103" t="s">
        <v>50</v>
      </c>
      <c r="K103" t="s">
        <v>51</v>
      </c>
      <c r="L103" t="s">
        <v>52</v>
      </c>
      <c r="M103" t="n">
        <v>500</v>
      </c>
      <c r="N103" t="n">
        <v>15721</v>
      </c>
      <c r="O103" t="n">
        <v>27.26</v>
      </c>
      <c r="P103" t="n">
        <v>0</v>
      </c>
      <c r="Q103" t="s">
        <v>720</v>
      </c>
      <c r="R103" t="s">
        <v>721</v>
      </c>
      <c r="S103" t="s">
        <v>722</v>
      </c>
      <c r="T103" t="s">
        <v>723</v>
      </c>
      <c r="U103" t="s">
        <v>724</v>
      </c>
      <c r="V103" t="n">
        <v>3304557</v>
      </c>
      <c r="W103" t="s">
        <v>203</v>
      </c>
      <c r="X103" t="s">
        <v>80</v>
      </c>
      <c r="Y103" t="n">
        <v>26245</v>
      </c>
      <c r="Z103" t="s">
        <v>725</v>
      </c>
      <c r="AA103" t="s">
        <v>61</v>
      </c>
      <c r="AB103" t="s">
        <v>62</v>
      </c>
      <c r="AC103" s="1" t="n">
        <v>45814</v>
      </c>
      <c r="AD103" s="1" t="n">
        <v>45815</v>
      </c>
      <c r="AE103" s="1" t="n">
        <v>45815</v>
      </c>
      <c r="AF103" s="1" t="n">
        <v>45814</v>
      </c>
      <c r="AG103" s="1" t="n">
        <v>45986</v>
      </c>
      <c r="AH103" t="n">
        <v>8955</v>
      </c>
      <c r="AI103" t="s">
        <v>63</v>
      </c>
      <c r="AJ103" t="s">
        <v>726</v>
      </c>
      <c r="AK103" t="s">
        <v>65</v>
      </c>
      <c r="AL103" t="s">
        <v>84</v>
      </c>
      <c r="AM103" t="s">
        <v>85</v>
      </c>
      <c r="AN103" t="n">
        <v>20.95</v>
      </c>
      <c r="AO103" t="n">
        <v>30.7825</v>
      </c>
      <c r="AP103" t="n">
        <v>9.8325</v>
      </c>
      <c r="AQ103" t="n">
        <v>6.20125</v>
      </c>
      <c r="AR103" t="n">
        <v>45.53125</v>
      </c>
      <c r="AS103" t="s">
        <v>68</v>
      </c>
      <c r="AT103"/>
    </row>
    <row r="104">
      <c r="A104" t="s">
        <v>727</v>
      </c>
      <c r="B104" t="n">
        <v>8448140</v>
      </c>
      <c r="C104" t="s">
        <v>70</v>
      </c>
      <c r="D104" t="n">
        <v>6</v>
      </c>
      <c r="E104" t="s">
        <v>71</v>
      </c>
      <c r="F104" t="n">
        <v>1</v>
      </c>
      <c r="G104" t="s">
        <v>49</v>
      </c>
      <c r="H104" t="n">
        <v>606522</v>
      </c>
      <c r="I104"/>
      <c r="J104" t="s">
        <v>50</v>
      </c>
      <c r="K104" t="s">
        <v>51</v>
      </c>
      <c r="L104" t="s">
        <v>52</v>
      </c>
      <c r="M104" t="n">
        <v>250</v>
      </c>
      <c r="N104" t="n">
        <v>500</v>
      </c>
      <c r="O104" t="n">
        <v>15.57</v>
      </c>
      <c r="P104" t="n">
        <v>0</v>
      </c>
      <c r="Q104" t="s">
        <v>728</v>
      </c>
      <c r="R104" t="s">
        <v>729</v>
      </c>
      <c r="S104" t="s">
        <v>730</v>
      </c>
      <c r="T104" t="s">
        <v>731</v>
      </c>
      <c r="U104" t="s">
        <v>732</v>
      </c>
      <c r="V104" t="n">
        <v>2927408</v>
      </c>
      <c r="W104" t="s">
        <v>211</v>
      </c>
      <c r="X104" t="s">
        <v>212</v>
      </c>
      <c r="Y104" t="n">
        <v>29208</v>
      </c>
      <c r="Z104" t="s">
        <v>732</v>
      </c>
      <c r="AA104" t="s">
        <v>61</v>
      </c>
      <c r="AB104" t="s">
        <v>62</v>
      </c>
      <c r="AC104" s="1" t="n">
        <v>45813</v>
      </c>
      <c r="AD104" s="1" t="n">
        <v>45814</v>
      </c>
      <c r="AE104" s="1" t="n">
        <v>45814</v>
      </c>
      <c r="AF104" s="1" t="n">
        <v>45813</v>
      </c>
      <c r="AG104" s="1" t="n">
        <v>45995</v>
      </c>
      <c r="AH104" t="n">
        <v>8955</v>
      </c>
      <c r="AI104" t="s">
        <v>63</v>
      </c>
      <c r="AJ104" t="s">
        <v>733</v>
      </c>
      <c r="AK104" t="s">
        <v>65</v>
      </c>
      <c r="AL104" t="s">
        <v>151</v>
      </c>
      <c r="AM104" t="s">
        <v>67</v>
      </c>
      <c r="AN104" t="n">
        <v>13.22</v>
      </c>
      <c r="AO104" t="n">
        <v>16.9</v>
      </c>
      <c r="AP104" t="n">
        <v>3.68</v>
      </c>
      <c r="AQ104" t="n">
        <v>7.7</v>
      </c>
      <c r="AR104" t="n">
        <v>22.42</v>
      </c>
      <c r="AS104" t="s">
        <v>68</v>
      </c>
      <c r="AT104"/>
    </row>
    <row r="105">
      <c r="A105" t="s">
        <v>734</v>
      </c>
      <c r="B105" t="n">
        <v>8458132</v>
      </c>
      <c r="C105" t="s">
        <v>47</v>
      </c>
      <c r="D105" t="n">
        <v>5</v>
      </c>
      <c r="E105" t="s">
        <v>48</v>
      </c>
      <c r="F105" t="n">
        <v>5</v>
      </c>
      <c r="G105" t="s">
        <v>49</v>
      </c>
      <c r="H105" t="n">
        <v>606522</v>
      </c>
      <c r="I105"/>
      <c r="J105" t="s">
        <v>399</v>
      </c>
      <c r="K105" t="s">
        <v>51</v>
      </c>
      <c r="L105" t="s">
        <v>52</v>
      </c>
      <c r="M105" t="n">
        <v>1</v>
      </c>
      <c r="N105" t="n">
        <v>378</v>
      </c>
      <c r="O105" t="n">
        <v>73.77</v>
      </c>
      <c r="P105" t="n">
        <v>0</v>
      </c>
      <c r="Q105" t="s">
        <v>735</v>
      </c>
      <c r="R105" t="s">
        <v>736</v>
      </c>
      <c r="S105" t="s">
        <v>737</v>
      </c>
      <c r="T105" t="s">
        <v>738</v>
      </c>
      <c r="U105" t="s">
        <v>739</v>
      </c>
      <c r="V105" t="n">
        <v>1100023</v>
      </c>
      <c r="W105" t="s">
        <v>740</v>
      </c>
      <c r="X105" t="s">
        <v>159</v>
      </c>
      <c r="Y105" t="n">
        <v>93547</v>
      </c>
      <c r="Z105" t="s">
        <v>739</v>
      </c>
      <c r="AA105" t="s">
        <v>61</v>
      </c>
      <c r="AB105" t="s">
        <v>61</v>
      </c>
      <c r="AC105" s="1" t="n">
        <v>45813</v>
      </c>
      <c r="AD105" s="1" t="n">
        <v>45814</v>
      </c>
      <c r="AE105" s="1" t="n">
        <v>45814</v>
      </c>
      <c r="AF105" s="1" t="n">
        <v>45813</v>
      </c>
      <c r="AG105" s="1" t="n">
        <v>45578</v>
      </c>
      <c r="AH105" t="n">
        <v>8955</v>
      </c>
      <c r="AI105" t="s">
        <v>63</v>
      </c>
      <c r="AJ105" t="s">
        <v>741</v>
      </c>
      <c r="AK105" t="s">
        <v>65</v>
      </c>
      <c r="AL105" t="s">
        <v>66</v>
      </c>
      <c r="AM105" t="s">
        <v>407</v>
      </c>
      <c r="AN105" t="n">
        <v>45.5</v>
      </c>
      <c r="AO105" t="n">
        <v>63.36</v>
      </c>
      <c r="AP105" t="n">
        <v>17.86</v>
      </c>
      <c r="AQ105" t="n">
        <v>18.71</v>
      </c>
      <c r="AR105" t="n">
        <v>90.15</v>
      </c>
      <c r="AS105" t="s">
        <v>68</v>
      </c>
      <c r="AT105"/>
    </row>
    <row r="106">
      <c r="A106" t="s">
        <v>742</v>
      </c>
      <c r="B106" t="n">
        <v>8448821</v>
      </c>
      <c r="C106" t="s">
        <v>70</v>
      </c>
      <c r="D106" t="n">
        <v>6</v>
      </c>
      <c r="E106" t="s">
        <v>71</v>
      </c>
      <c r="F106" t="n">
        <v>1</v>
      </c>
      <c r="G106" t="s">
        <v>49</v>
      </c>
      <c r="H106" t="n">
        <v>606522</v>
      </c>
      <c r="I106"/>
      <c r="J106"/>
      <c r="K106" t="s">
        <v>129</v>
      </c>
      <c r="L106" t="s">
        <v>130</v>
      </c>
      <c r="M106" t="n">
        <v>0</v>
      </c>
      <c r="N106" t="n">
        <v>1695</v>
      </c>
      <c r="O106" t="n">
        <v>31.27</v>
      </c>
      <c r="P106" t="n">
        <v>0</v>
      </c>
      <c r="Q106" t="s">
        <v>743</v>
      </c>
      <c r="R106" t="s">
        <v>744</v>
      </c>
      <c r="S106" t="s">
        <v>650</v>
      </c>
      <c r="T106" t="s">
        <v>745</v>
      </c>
      <c r="U106" t="s">
        <v>746</v>
      </c>
      <c r="V106" t="n">
        <v>5300108</v>
      </c>
      <c r="W106" t="s">
        <v>311</v>
      </c>
      <c r="X106" t="s">
        <v>312</v>
      </c>
      <c r="Y106" t="n">
        <v>25206</v>
      </c>
      <c r="Z106" t="s">
        <v>747</v>
      </c>
      <c r="AA106" t="s">
        <v>61</v>
      </c>
      <c r="AB106" t="s">
        <v>62</v>
      </c>
      <c r="AC106" s="1" t="n">
        <v>45813</v>
      </c>
      <c r="AD106" s="1" t="n">
        <v>45814</v>
      </c>
      <c r="AE106" s="1" t="n">
        <v>45814</v>
      </c>
      <c r="AF106" s="1" t="n">
        <v>45813</v>
      </c>
      <c r="AG106" s="1" t="n">
        <v>46077</v>
      </c>
      <c r="AH106" t="n">
        <v>8955</v>
      </c>
      <c r="AI106" t="s">
        <v>63</v>
      </c>
      <c r="AJ106" t="s">
        <v>748</v>
      </c>
      <c r="AK106" t="s">
        <v>65</v>
      </c>
      <c r="AL106" t="s">
        <v>272</v>
      </c>
      <c r="AM106" t="s">
        <v>140</v>
      </c>
      <c r="AN106" t="n">
        <v>14.3</v>
      </c>
      <c r="AO106" t="n">
        <v>26.28</v>
      </c>
      <c r="AP106" t="n">
        <v>11.98</v>
      </c>
      <c r="AQ106" t="n">
        <v>-3.67</v>
      </c>
      <c r="AR106" t="n">
        <v>44.25</v>
      </c>
      <c r="AS106" t="s">
        <v>68</v>
      </c>
      <c r="AT106"/>
    </row>
    <row r="107">
      <c r="A107" t="s">
        <v>273</v>
      </c>
      <c r="B107" t="n">
        <v>7964023</v>
      </c>
      <c r="C107" t="s">
        <v>47</v>
      </c>
      <c r="D107" t="n">
        <v>5</v>
      </c>
      <c r="E107" t="s">
        <v>48</v>
      </c>
      <c r="F107" t="n">
        <v>25</v>
      </c>
      <c r="G107" t="s">
        <v>49</v>
      </c>
      <c r="H107" t="n">
        <v>606522</v>
      </c>
      <c r="I107"/>
      <c r="J107" t="s">
        <v>50</v>
      </c>
      <c r="K107" t="s">
        <v>51</v>
      </c>
      <c r="L107" t="s">
        <v>52</v>
      </c>
      <c r="M107" t="n">
        <v>250</v>
      </c>
      <c r="N107" t="n">
        <v>25010</v>
      </c>
      <c r="O107" t="n">
        <v>6</v>
      </c>
      <c r="P107" t="n">
        <v>0</v>
      </c>
      <c r="Q107" t="s">
        <v>749</v>
      </c>
      <c r="R107" t="s">
        <v>750</v>
      </c>
      <c r="S107" t="s">
        <v>52</v>
      </c>
      <c r="T107" t="s">
        <v>277</v>
      </c>
      <c r="U107" t="s">
        <v>278</v>
      </c>
      <c r="V107" t="n">
        <v>1400100</v>
      </c>
      <c r="W107" t="s">
        <v>58</v>
      </c>
      <c r="X107" t="s">
        <v>59</v>
      </c>
      <c r="Y107" t="n">
        <v>93664</v>
      </c>
      <c r="Z107" t="s">
        <v>278</v>
      </c>
      <c r="AA107" t="s">
        <v>61</v>
      </c>
      <c r="AB107" t="s">
        <v>81</v>
      </c>
      <c r="AC107" s="1" t="n">
        <v>46007</v>
      </c>
      <c r="AD107" s="1" t="n">
        <v>46008</v>
      </c>
      <c r="AE107" s="1" t="n">
        <v>45811</v>
      </c>
      <c r="AF107" s="1" t="n">
        <v>45810</v>
      </c>
      <c r="AG107" s="1" t="n">
        <v>45388</v>
      </c>
      <c r="AH107" t="n">
        <v>8955</v>
      </c>
      <c r="AI107" t="s">
        <v>63</v>
      </c>
      <c r="AJ107" t="s">
        <v>279</v>
      </c>
      <c r="AK107" t="s">
        <v>65</v>
      </c>
      <c r="AL107" t="s">
        <v>66</v>
      </c>
      <c r="AM107" t="s">
        <v>67</v>
      </c>
      <c r="AN107" t="n">
        <v>13.22</v>
      </c>
      <c r="AO107" t="n">
        <v>16.9</v>
      </c>
      <c r="AP107" t="n">
        <v>3.68</v>
      </c>
      <c r="AQ107" t="n">
        <v>7.7</v>
      </c>
      <c r="AR107" t="n">
        <v>22.42</v>
      </c>
      <c r="AS107" t="s">
        <v>183</v>
      </c>
      <c r="AT107" t="s">
        <v>184</v>
      </c>
    </row>
    <row r="108">
      <c r="A108" t="s">
        <v>751</v>
      </c>
      <c r="B108" t="n">
        <v>8398790</v>
      </c>
      <c r="C108" t="s">
        <v>47</v>
      </c>
      <c r="D108" t="n">
        <v>5</v>
      </c>
      <c r="E108" t="s">
        <v>48</v>
      </c>
      <c r="F108" t="n">
        <v>17</v>
      </c>
      <c r="G108" t="s">
        <v>49</v>
      </c>
      <c r="H108" t="n">
        <v>606522</v>
      </c>
      <c r="I108"/>
      <c r="J108" t="s">
        <v>50</v>
      </c>
      <c r="K108" t="s">
        <v>51</v>
      </c>
      <c r="L108" t="s">
        <v>52</v>
      </c>
      <c r="M108" t="n">
        <v>500</v>
      </c>
      <c r="N108" t="n">
        <v>640</v>
      </c>
      <c r="O108" t="n">
        <v>32</v>
      </c>
      <c r="P108" t="n">
        <v>0</v>
      </c>
      <c r="Q108" t="s">
        <v>752</v>
      </c>
      <c r="R108" t="s">
        <v>753</v>
      </c>
      <c r="S108" t="s">
        <v>754</v>
      </c>
      <c r="T108" t="s">
        <v>755</v>
      </c>
      <c r="U108" t="s">
        <v>756</v>
      </c>
      <c r="V108" t="n">
        <v>4205407</v>
      </c>
      <c r="W108" t="s">
        <v>453</v>
      </c>
      <c r="X108" t="s">
        <v>454</v>
      </c>
      <c r="Y108" t="n">
        <v>52131</v>
      </c>
      <c r="Z108" t="s">
        <v>110</v>
      </c>
      <c r="AA108" t="s">
        <v>61</v>
      </c>
      <c r="AB108" t="s">
        <v>62</v>
      </c>
      <c r="AC108" s="1" t="n">
        <v>45807</v>
      </c>
      <c r="AD108" s="1" t="n">
        <v>45808</v>
      </c>
      <c r="AE108" s="1" t="n">
        <v>45808</v>
      </c>
      <c r="AF108" s="1" t="n">
        <v>45807</v>
      </c>
      <c r="AG108" s="1" t="n">
        <v>45890</v>
      </c>
      <c r="AH108" t="n">
        <v>8955</v>
      </c>
      <c r="AI108" t="s">
        <v>63</v>
      </c>
      <c r="AJ108" t="s">
        <v>757</v>
      </c>
      <c r="AK108" t="s">
        <v>65</v>
      </c>
      <c r="AL108" t="s">
        <v>112</v>
      </c>
      <c r="AM108" t="s">
        <v>85</v>
      </c>
      <c r="AN108" t="n">
        <v>20.95</v>
      </c>
      <c r="AO108" t="n">
        <v>30.7825</v>
      </c>
      <c r="AP108" t="n">
        <v>9.8325</v>
      </c>
      <c r="AQ108" t="n">
        <v>6.20125</v>
      </c>
      <c r="AR108" t="n">
        <v>45.53125</v>
      </c>
      <c r="AS108" t="s">
        <v>68</v>
      </c>
      <c r="AT108"/>
    </row>
    <row r="109">
      <c r="A109" t="s">
        <v>751</v>
      </c>
      <c r="B109" t="n">
        <v>8398789</v>
      </c>
      <c r="C109" t="s">
        <v>47</v>
      </c>
      <c r="D109" t="n">
        <v>5</v>
      </c>
      <c r="E109" t="s">
        <v>48</v>
      </c>
      <c r="F109" t="n">
        <v>16</v>
      </c>
      <c r="G109" t="s">
        <v>49</v>
      </c>
      <c r="H109" t="n">
        <v>606522</v>
      </c>
      <c r="I109"/>
      <c r="J109" t="s">
        <v>50</v>
      </c>
      <c r="K109" t="s">
        <v>51</v>
      </c>
      <c r="L109" t="s">
        <v>52</v>
      </c>
      <c r="M109" t="n">
        <v>500</v>
      </c>
      <c r="N109" t="n">
        <v>1920</v>
      </c>
      <c r="O109" t="n">
        <v>32</v>
      </c>
      <c r="P109" t="n">
        <v>0</v>
      </c>
      <c r="Q109" t="s">
        <v>752</v>
      </c>
      <c r="R109" t="s">
        <v>753</v>
      </c>
      <c r="S109" t="s">
        <v>754</v>
      </c>
      <c r="T109" t="s">
        <v>755</v>
      </c>
      <c r="U109" t="s">
        <v>756</v>
      </c>
      <c r="V109" t="n">
        <v>4205407</v>
      </c>
      <c r="W109" t="s">
        <v>453</v>
      </c>
      <c r="X109" t="s">
        <v>454</v>
      </c>
      <c r="Y109" t="n">
        <v>52131</v>
      </c>
      <c r="Z109" t="s">
        <v>110</v>
      </c>
      <c r="AA109" t="s">
        <v>61</v>
      </c>
      <c r="AB109" t="s">
        <v>62</v>
      </c>
      <c r="AC109" s="1" t="n">
        <v>45807</v>
      </c>
      <c r="AD109" s="1" t="n">
        <v>45808</v>
      </c>
      <c r="AE109" s="1" t="n">
        <v>45808</v>
      </c>
      <c r="AF109" s="1" t="n">
        <v>45807</v>
      </c>
      <c r="AG109" s="1" t="n">
        <v>45890</v>
      </c>
      <c r="AH109" t="n">
        <v>8955</v>
      </c>
      <c r="AI109" t="s">
        <v>63</v>
      </c>
      <c r="AJ109" t="s">
        <v>757</v>
      </c>
      <c r="AK109" t="s">
        <v>65</v>
      </c>
      <c r="AL109" t="s">
        <v>112</v>
      </c>
      <c r="AM109" t="s">
        <v>85</v>
      </c>
      <c r="AN109" t="n">
        <v>20.95</v>
      </c>
      <c r="AO109" t="n">
        <v>30.7825</v>
      </c>
      <c r="AP109" t="n">
        <v>9.8325</v>
      </c>
      <c r="AQ109" t="n">
        <v>6.20125</v>
      </c>
      <c r="AR109" t="n">
        <v>45.53125</v>
      </c>
      <c r="AS109" t="s">
        <v>68</v>
      </c>
      <c r="AT109"/>
    </row>
    <row r="110">
      <c r="A110" t="s">
        <v>758</v>
      </c>
      <c r="B110" t="n">
        <v>8392894</v>
      </c>
      <c r="C110" t="s">
        <v>70</v>
      </c>
      <c r="D110" t="n">
        <v>6</v>
      </c>
      <c r="E110" t="s">
        <v>71</v>
      </c>
      <c r="F110" t="n">
        <v>1</v>
      </c>
      <c r="G110" t="s">
        <v>49</v>
      </c>
      <c r="H110" t="n">
        <v>606522</v>
      </c>
      <c r="I110"/>
      <c r="J110"/>
      <c r="K110" t="s">
        <v>129</v>
      </c>
      <c r="L110" t="s">
        <v>130</v>
      </c>
      <c r="M110" t="n">
        <v>0</v>
      </c>
      <c r="N110" t="n">
        <v>120</v>
      </c>
      <c r="O110" t="n">
        <v>32.5</v>
      </c>
      <c r="P110" t="n">
        <v>0</v>
      </c>
      <c r="Q110" t="s">
        <v>759</v>
      </c>
      <c r="R110" t="s">
        <v>760</v>
      </c>
      <c r="S110" t="s">
        <v>761</v>
      </c>
      <c r="T110" t="s">
        <v>762</v>
      </c>
      <c r="U110" t="s">
        <v>763</v>
      </c>
      <c r="V110" t="n">
        <v>3503208</v>
      </c>
      <c r="W110" t="s">
        <v>764</v>
      </c>
      <c r="X110" t="s">
        <v>253</v>
      </c>
      <c r="Y110" t="n">
        <v>95571</v>
      </c>
      <c r="Z110" t="s">
        <v>765</v>
      </c>
      <c r="AA110" t="s">
        <v>61</v>
      </c>
      <c r="AB110" t="s">
        <v>61</v>
      </c>
      <c r="AC110" s="1" t="n">
        <v>45807</v>
      </c>
      <c r="AD110" s="1" t="n">
        <v>45808</v>
      </c>
      <c r="AE110" s="1" t="n">
        <v>45808</v>
      </c>
      <c r="AF110" s="1" t="n">
        <v>45807</v>
      </c>
      <c r="AG110" s="1" t="n">
        <v>45365</v>
      </c>
      <c r="AH110" t="n">
        <v>8955</v>
      </c>
      <c r="AI110" t="s">
        <v>63</v>
      </c>
      <c r="AJ110" t="s">
        <v>766</v>
      </c>
      <c r="AK110" t="s">
        <v>65</v>
      </c>
      <c r="AL110" t="s">
        <v>84</v>
      </c>
      <c r="AM110" t="s">
        <v>140</v>
      </c>
      <c r="AN110" t="n">
        <v>14.3</v>
      </c>
      <c r="AO110" t="n">
        <v>26.28</v>
      </c>
      <c r="AP110" t="n">
        <v>11.98</v>
      </c>
      <c r="AQ110" t="n">
        <v>-3.67</v>
      </c>
      <c r="AR110" t="n">
        <v>44.25</v>
      </c>
      <c r="AS110" t="s">
        <v>68</v>
      </c>
      <c r="AT110"/>
    </row>
    <row r="111">
      <c r="A111" t="s">
        <v>767</v>
      </c>
      <c r="B111" t="n">
        <v>7582526</v>
      </c>
      <c r="C111" t="s">
        <v>47</v>
      </c>
      <c r="D111" t="n">
        <v>5</v>
      </c>
      <c r="E111" t="s">
        <v>48</v>
      </c>
      <c r="F111" t="n">
        <v>8</v>
      </c>
      <c r="G111" t="s">
        <v>49</v>
      </c>
      <c r="H111" t="n">
        <v>606522</v>
      </c>
      <c r="I111"/>
      <c r="J111" t="s">
        <v>50</v>
      </c>
      <c r="K111" t="s">
        <v>51</v>
      </c>
      <c r="L111" t="s">
        <v>52</v>
      </c>
      <c r="M111" t="n">
        <v>500</v>
      </c>
      <c r="N111" t="n">
        <v>3500</v>
      </c>
      <c r="O111" t="n">
        <v>21.28</v>
      </c>
      <c r="P111" t="n">
        <v>0</v>
      </c>
      <c r="Q111" t="s">
        <v>768</v>
      </c>
      <c r="R111" t="s">
        <v>769</v>
      </c>
      <c r="S111" t="s">
        <v>770</v>
      </c>
      <c r="T111" t="s">
        <v>771</v>
      </c>
      <c r="U111" t="s">
        <v>772</v>
      </c>
      <c r="V111" t="n">
        <v>3304557</v>
      </c>
      <c r="W111" t="s">
        <v>203</v>
      </c>
      <c r="X111" t="s">
        <v>80</v>
      </c>
      <c r="Y111" t="n">
        <v>52131</v>
      </c>
      <c r="Z111" t="s">
        <v>110</v>
      </c>
      <c r="AA111" t="s">
        <v>61</v>
      </c>
      <c r="AB111" t="s">
        <v>62</v>
      </c>
      <c r="AC111" s="1" t="n">
        <v>45800</v>
      </c>
      <c r="AD111" s="1" t="n">
        <v>45801</v>
      </c>
      <c r="AE111" s="1" t="n">
        <v>45801</v>
      </c>
      <c r="AF111" s="1" t="n">
        <v>45800</v>
      </c>
      <c r="AG111" s="1" t="n">
        <v>45930</v>
      </c>
      <c r="AH111" t="n">
        <v>8955</v>
      </c>
      <c r="AI111" t="s">
        <v>63</v>
      </c>
      <c r="AJ111" t="s">
        <v>773</v>
      </c>
      <c r="AK111" t="s">
        <v>65</v>
      </c>
      <c r="AL111" t="s">
        <v>84</v>
      </c>
      <c r="AM111" t="s">
        <v>85</v>
      </c>
      <c r="AN111" t="n">
        <v>20.95</v>
      </c>
      <c r="AO111" t="n">
        <v>30.7825</v>
      </c>
      <c r="AP111" t="n">
        <v>9.8325</v>
      </c>
      <c r="AQ111" t="n">
        <v>6.20125</v>
      </c>
      <c r="AR111" t="n">
        <v>45.53125</v>
      </c>
      <c r="AS111" t="s">
        <v>68</v>
      </c>
      <c r="AT111"/>
    </row>
    <row r="112">
      <c r="A112" t="s">
        <v>774</v>
      </c>
      <c r="B112" t="n">
        <v>8295381</v>
      </c>
      <c r="C112" t="s">
        <v>47</v>
      </c>
      <c r="D112" t="n">
        <v>5</v>
      </c>
      <c r="E112" t="s">
        <v>48</v>
      </c>
      <c r="F112" t="n">
        <v>46</v>
      </c>
      <c r="G112" t="s">
        <v>49</v>
      </c>
      <c r="H112" t="n">
        <v>606522</v>
      </c>
      <c r="I112"/>
      <c r="J112"/>
      <c r="K112" t="s">
        <v>129</v>
      </c>
      <c r="L112" t="s">
        <v>130</v>
      </c>
      <c r="M112" t="n">
        <v>0</v>
      </c>
      <c r="N112" t="n">
        <v>4000</v>
      </c>
      <c r="O112" t="n">
        <v>7.4</v>
      </c>
      <c r="P112" t="n">
        <v>0</v>
      </c>
      <c r="Q112" t="s">
        <v>775</v>
      </c>
      <c r="R112" t="s">
        <v>776</v>
      </c>
      <c r="S112" t="s">
        <v>777</v>
      </c>
      <c r="T112" t="s">
        <v>778</v>
      </c>
      <c r="U112" t="s">
        <v>779</v>
      </c>
      <c r="V112" t="n">
        <v>2919157</v>
      </c>
      <c r="W112" t="s">
        <v>780</v>
      </c>
      <c r="X112" t="s">
        <v>212</v>
      </c>
      <c r="Y112" t="n">
        <v>95031</v>
      </c>
      <c r="Z112" t="s">
        <v>779</v>
      </c>
      <c r="AA112" t="s">
        <v>61</v>
      </c>
      <c r="AB112" t="s">
        <v>81</v>
      </c>
      <c r="AC112" s="1" t="n">
        <v>45800</v>
      </c>
      <c r="AD112" s="1" t="n">
        <v>45801</v>
      </c>
      <c r="AE112" s="1" t="n">
        <v>45801</v>
      </c>
      <c r="AF112" s="1" t="n">
        <v>45800</v>
      </c>
      <c r="AG112" s="1" t="n">
        <v>45396</v>
      </c>
      <c r="AH112" t="n">
        <v>8955</v>
      </c>
      <c r="AI112" t="s">
        <v>63</v>
      </c>
      <c r="AJ112" t="s">
        <v>781</v>
      </c>
      <c r="AK112" t="s">
        <v>65</v>
      </c>
      <c r="AL112" t="s">
        <v>151</v>
      </c>
      <c r="AM112" t="s">
        <v>140</v>
      </c>
      <c r="AN112" t="n">
        <v>14.3</v>
      </c>
      <c r="AO112" t="n">
        <v>26.28</v>
      </c>
      <c r="AP112" t="n">
        <v>11.98</v>
      </c>
      <c r="AQ112" t="n">
        <v>-3.67</v>
      </c>
      <c r="AR112" t="n">
        <v>44.25</v>
      </c>
      <c r="AS112" t="s">
        <v>68</v>
      </c>
      <c r="AT112"/>
    </row>
    <row r="113">
      <c r="A113" t="s">
        <v>782</v>
      </c>
      <c r="B113" t="n">
        <v>8309333</v>
      </c>
      <c r="C113" t="s">
        <v>70</v>
      </c>
      <c r="D113" t="n">
        <v>6</v>
      </c>
      <c r="E113" t="s">
        <v>71</v>
      </c>
      <c r="F113" t="n">
        <v>1</v>
      </c>
      <c r="G113" t="s">
        <v>49</v>
      </c>
      <c r="H113" t="n">
        <v>606522</v>
      </c>
      <c r="I113"/>
      <c r="J113" t="s">
        <v>50</v>
      </c>
      <c r="K113" t="s">
        <v>51</v>
      </c>
      <c r="L113" t="s">
        <v>52</v>
      </c>
      <c r="M113" t="n">
        <v>500</v>
      </c>
      <c r="N113" t="n">
        <v>430</v>
      </c>
      <c r="O113" t="n">
        <v>20</v>
      </c>
      <c r="P113" t="n">
        <v>0</v>
      </c>
      <c r="Q113" t="s">
        <v>783</v>
      </c>
      <c r="R113" t="s">
        <v>784</v>
      </c>
      <c r="S113" t="s">
        <v>785</v>
      </c>
      <c r="T113" t="s">
        <v>786</v>
      </c>
      <c r="U113" t="s">
        <v>787</v>
      </c>
      <c r="V113" t="n">
        <v>5300108</v>
      </c>
      <c r="W113" t="s">
        <v>311</v>
      </c>
      <c r="X113" t="s">
        <v>312</v>
      </c>
      <c r="Y113" t="n">
        <v>38505</v>
      </c>
      <c r="Z113" t="s">
        <v>788</v>
      </c>
      <c r="AA113" t="s">
        <v>61</v>
      </c>
      <c r="AB113" t="s">
        <v>62</v>
      </c>
      <c r="AC113" s="1" t="n">
        <v>45800</v>
      </c>
      <c r="AD113" s="1" t="n">
        <v>45801</v>
      </c>
      <c r="AE113" s="1" t="n">
        <v>45801</v>
      </c>
      <c r="AF113" s="1" t="n">
        <v>45800</v>
      </c>
      <c r="AG113" s="1" t="n">
        <v>45869</v>
      </c>
      <c r="AH113" t="n">
        <v>8955</v>
      </c>
      <c r="AI113" t="s">
        <v>63</v>
      </c>
      <c r="AJ113" t="s">
        <v>789</v>
      </c>
      <c r="AK113" t="s">
        <v>65</v>
      </c>
      <c r="AL113" t="s">
        <v>272</v>
      </c>
      <c r="AM113" t="s">
        <v>85</v>
      </c>
      <c r="AN113" t="n">
        <v>20.95</v>
      </c>
      <c r="AO113" t="n">
        <v>30.7825</v>
      </c>
      <c r="AP113" t="n">
        <v>9.8325</v>
      </c>
      <c r="AQ113" t="n">
        <v>6.20125</v>
      </c>
      <c r="AR113" t="n">
        <v>45.53125</v>
      </c>
      <c r="AS113" t="s">
        <v>68</v>
      </c>
      <c r="AT113"/>
    </row>
    <row r="114">
      <c r="A114" t="s">
        <v>790</v>
      </c>
      <c r="B114" t="n">
        <v>8295138</v>
      </c>
      <c r="C114" t="s">
        <v>70</v>
      </c>
      <c r="D114" t="n">
        <v>6</v>
      </c>
      <c r="E114" t="s">
        <v>71</v>
      </c>
      <c r="F114" t="n">
        <v>1</v>
      </c>
      <c r="G114" t="s">
        <v>49</v>
      </c>
      <c r="H114" t="n">
        <v>606522</v>
      </c>
      <c r="I114"/>
      <c r="J114" t="s">
        <v>50</v>
      </c>
      <c r="K114" t="s">
        <v>51</v>
      </c>
      <c r="L114" t="s">
        <v>52</v>
      </c>
      <c r="M114" t="n">
        <v>500</v>
      </c>
      <c r="N114" t="n">
        <v>40</v>
      </c>
      <c r="O114" t="n">
        <v>27.9</v>
      </c>
      <c r="P114" t="n">
        <v>0</v>
      </c>
      <c r="Q114" t="s">
        <v>409</v>
      </c>
      <c r="R114" t="s">
        <v>410</v>
      </c>
      <c r="S114" t="s">
        <v>249</v>
      </c>
      <c r="T114" t="s">
        <v>172</v>
      </c>
      <c r="U114" t="s">
        <v>173</v>
      </c>
      <c r="V114" t="n">
        <v>4318408</v>
      </c>
      <c r="W114" t="s">
        <v>174</v>
      </c>
      <c r="X114" t="s">
        <v>175</v>
      </c>
      <c r="Y114" t="n">
        <v>96775</v>
      </c>
      <c r="Z114" t="s">
        <v>176</v>
      </c>
      <c r="AA114"/>
      <c r="AB114" t="s">
        <v>81</v>
      </c>
      <c r="AC114" s="1" t="n">
        <v>45799</v>
      </c>
      <c r="AD114" s="1" t="n">
        <v>45800</v>
      </c>
      <c r="AE114" s="1" t="n">
        <v>45800</v>
      </c>
      <c r="AF114" s="1" t="n">
        <v>45799</v>
      </c>
      <c r="AG114" s="1" t="n">
        <v>45382</v>
      </c>
      <c r="AH114" t="n">
        <v>8955</v>
      </c>
      <c r="AI114" t="s">
        <v>63</v>
      </c>
      <c r="AJ114" t="s">
        <v>791</v>
      </c>
      <c r="AK114" t="s">
        <v>65</v>
      </c>
      <c r="AL114" t="s">
        <v>112</v>
      </c>
      <c r="AM114" t="s">
        <v>85</v>
      </c>
      <c r="AN114" t="n">
        <v>20.95</v>
      </c>
      <c r="AO114" t="n">
        <v>30.7825</v>
      </c>
      <c r="AP114" t="n">
        <v>9.8325</v>
      </c>
      <c r="AQ114" t="n">
        <v>6.20125</v>
      </c>
      <c r="AR114" t="n">
        <v>45.53125</v>
      </c>
      <c r="AS114" t="s">
        <v>68</v>
      </c>
      <c r="AT114"/>
    </row>
    <row r="115">
      <c r="A115" t="s">
        <v>792</v>
      </c>
      <c r="B115" t="n">
        <v>8307523</v>
      </c>
      <c r="C115" t="s">
        <v>70</v>
      </c>
      <c r="D115" t="n">
        <v>5</v>
      </c>
      <c r="E115" t="s">
        <v>48</v>
      </c>
      <c r="F115" t="n">
        <v>1</v>
      </c>
      <c r="G115" t="s">
        <v>49</v>
      </c>
      <c r="H115" t="n">
        <v>606522</v>
      </c>
      <c r="I115"/>
      <c r="J115" t="s">
        <v>50</v>
      </c>
      <c r="K115" t="s">
        <v>51</v>
      </c>
      <c r="L115" t="s">
        <v>52</v>
      </c>
      <c r="M115" t="n">
        <v>500</v>
      </c>
      <c r="N115" t="n">
        <v>666</v>
      </c>
      <c r="O115" t="n">
        <v>20</v>
      </c>
      <c r="P115" t="n">
        <v>0</v>
      </c>
      <c r="Q115" t="s">
        <v>793</v>
      </c>
      <c r="R115" t="s">
        <v>794</v>
      </c>
      <c r="S115" t="s">
        <v>795</v>
      </c>
      <c r="T115" t="s">
        <v>796</v>
      </c>
      <c r="U115" t="s">
        <v>797</v>
      </c>
      <c r="V115" t="n">
        <v>3549904</v>
      </c>
      <c r="W115" t="s">
        <v>798</v>
      </c>
      <c r="X115" t="s">
        <v>253</v>
      </c>
      <c r="Y115" t="n">
        <v>86641</v>
      </c>
      <c r="Z115" t="s">
        <v>702</v>
      </c>
      <c r="AA115" t="s">
        <v>61</v>
      </c>
      <c r="AB115" t="s">
        <v>61</v>
      </c>
      <c r="AC115" s="1" t="n">
        <v>45799</v>
      </c>
      <c r="AD115" s="1" t="n">
        <v>45800</v>
      </c>
      <c r="AE115" s="1" t="n">
        <v>45800</v>
      </c>
      <c r="AF115" s="1" t="n">
        <v>45799</v>
      </c>
      <c r="AG115" s="1" t="n">
        <v>45750</v>
      </c>
      <c r="AH115" t="n">
        <v>8955</v>
      </c>
      <c r="AI115" t="s">
        <v>63</v>
      </c>
      <c r="AJ115" t="s">
        <v>799</v>
      </c>
      <c r="AK115" t="s">
        <v>65</v>
      </c>
      <c r="AL115" t="s">
        <v>84</v>
      </c>
      <c r="AM115" t="s">
        <v>85</v>
      </c>
      <c r="AN115" t="n">
        <v>20.95</v>
      </c>
      <c r="AO115" t="n">
        <v>30.7825</v>
      </c>
      <c r="AP115" t="n">
        <v>9.8325</v>
      </c>
      <c r="AQ115" t="n">
        <v>6.20125</v>
      </c>
      <c r="AR115" t="n">
        <v>45.53125</v>
      </c>
      <c r="AS115" t="s">
        <v>68</v>
      </c>
      <c r="AT115"/>
    </row>
    <row r="116">
      <c r="A116" t="s">
        <v>800</v>
      </c>
      <c r="B116" t="n">
        <v>8250136</v>
      </c>
      <c r="C116" t="s">
        <v>70</v>
      </c>
      <c r="D116" t="n">
        <v>6</v>
      </c>
      <c r="E116" t="s">
        <v>71</v>
      </c>
      <c r="F116" t="n">
        <v>1</v>
      </c>
      <c r="G116" t="s">
        <v>49</v>
      </c>
      <c r="H116" t="n">
        <v>606522</v>
      </c>
      <c r="I116"/>
      <c r="J116" t="s">
        <v>50</v>
      </c>
      <c r="K116" t="s">
        <v>51</v>
      </c>
      <c r="L116" t="s">
        <v>52</v>
      </c>
      <c r="M116" t="n">
        <v>500</v>
      </c>
      <c r="N116" t="n">
        <v>1315</v>
      </c>
      <c r="O116" t="n">
        <v>26.42</v>
      </c>
      <c r="P116" t="n">
        <v>0</v>
      </c>
      <c r="Q116" t="s">
        <v>801</v>
      </c>
      <c r="R116" t="s">
        <v>802</v>
      </c>
      <c r="S116" t="s">
        <v>803</v>
      </c>
      <c r="T116" t="s">
        <v>804</v>
      </c>
      <c r="U116" t="s">
        <v>805</v>
      </c>
      <c r="V116" t="n">
        <v>5208707</v>
      </c>
      <c r="W116" t="s">
        <v>303</v>
      </c>
      <c r="X116" t="s">
        <v>295</v>
      </c>
      <c r="Y116" t="n">
        <v>26429</v>
      </c>
      <c r="Z116" t="s">
        <v>805</v>
      </c>
      <c r="AA116" t="s">
        <v>61</v>
      </c>
      <c r="AB116" t="s">
        <v>62</v>
      </c>
      <c r="AC116" s="1" t="n">
        <v>45796</v>
      </c>
      <c r="AD116" s="1" t="n">
        <v>45797</v>
      </c>
      <c r="AE116" s="1" t="n">
        <v>45797</v>
      </c>
      <c r="AF116" s="1" t="n">
        <v>45796</v>
      </c>
      <c r="AG116" s="1" t="n">
        <v>46057</v>
      </c>
      <c r="AH116" t="n">
        <v>8955</v>
      </c>
      <c r="AI116" t="s">
        <v>63</v>
      </c>
      <c r="AJ116" t="s">
        <v>806</v>
      </c>
      <c r="AK116" t="s">
        <v>65</v>
      </c>
      <c r="AL116" t="s">
        <v>272</v>
      </c>
      <c r="AM116" t="s">
        <v>85</v>
      </c>
      <c r="AN116" t="n">
        <v>20.95</v>
      </c>
      <c r="AO116" t="n">
        <v>30.7825</v>
      </c>
      <c r="AP116" t="n">
        <v>9.8325</v>
      </c>
      <c r="AQ116" t="n">
        <v>6.20125</v>
      </c>
      <c r="AR116" t="n">
        <v>45.53125</v>
      </c>
      <c r="AS116" t="s">
        <v>68</v>
      </c>
      <c r="AT116"/>
    </row>
    <row r="117">
      <c r="A117" t="s">
        <v>807</v>
      </c>
      <c r="B117" t="n">
        <v>8234922</v>
      </c>
      <c r="C117" t="s">
        <v>70</v>
      </c>
      <c r="D117" t="n">
        <v>6</v>
      </c>
      <c r="E117" t="s">
        <v>568</v>
      </c>
      <c r="F117" t="n">
        <v>5</v>
      </c>
      <c r="G117" t="s">
        <v>49</v>
      </c>
      <c r="H117" t="n">
        <v>606522</v>
      </c>
      <c r="I117"/>
      <c r="J117" t="s">
        <v>50</v>
      </c>
      <c r="K117" t="s">
        <v>72</v>
      </c>
      <c r="L117" t="s">
        <v>73</v>
      </c>
      <c r="M117" t="n">
        <v>500</v>
      </c>
      <c r="N117" t="n">
        <v>120</v>
      </c>
      <c r="O117" t="n">
        <v>29</v>
      </c>
      <c r="P117" t="n">
        <v>0</v>
      </c>
      <c r="Q117" t="s">
        <v>808</v>
      </c>
      <c r="R117" t="s">
        <v>809</v>
      </c>
      <c r="S117" t="s">
        <v>810</v>
      </c>
      <c r="T117" t="s">
        <v>762</v>
      </c>
      <c r="U117" t="s">
        <v>763</v>
      </c>
      <c r="V117" t="n">
        <v>3503208</v>
      </c>
      <c r="W117" t="s">
        <v>764</v>
      </c>
      <c r="X117" t="s">
        <v>253</v>
      </c>
      <c r="Y117" t="n">
        <v>95571</v>
      </c>
      <c r="Z117" t="s">
        <v>765</v>
      </c>
      <c r="AA117" t="s">
        <v>61</v>
      </c>
      <c r="AB117" t="s">
        <v>61</v>
      </c>
      <c r="AC117" s="1" t="n">
        <v>45791</v>
      </c>
      <c r="AD117" s="1" t="n">
        <v>45793</v>
      </c>
      <c r="AE117" s="1" t="n">
        <v>45793</v>
      </c>
      <c r="AF117" s="1" t="n">
        <v>45792</v>
      </c>
      <c r="AG117" s="1" t="n">
        <v>45365</v>
      </c>
      <c r="AH117" t="n">
        <v>8955</v>
      </c>
      <c r="AI117" t="s">
        <v>63</v>
      </c>
      <c r="AJ117" t="s">
        <v>811</v>
      </c>
      <c r="AK117" t="s">
        <v>230</v>
      </c>
      <c r="AL117" t="s">
        <v>84</v>
      </c>
      <c r="AM117" t="s">
        <v>85</v>
      </c>
      <c r="AN117" t="n">
        <v>20.95</v>
      </c>
      <c r="AO117" t="n">
        <v>30.7825</v>
      </c>
      <c r="AP117" t="n">
        <v>9.8325</v>
      </c>
      <c r="AQ117" t="n">
        <v>6.20125</v>
      </c>
      <c r="AR117" t="n">
        <v>45.53125</v>
      </c>
      <c r="AS117" t="s">
        <v>68</v>
      </c>
      <c r="AT117"/>
    </row>
    <row r="118">
      <c r="A118" t="s">
        <v>812</v>
      </c>
      <c r="B118" t="n">
        <v>8212803</v>
      </c>
      <c r="C118" t="s">
        <v>70</v>
      </c>
      <c r="D118" t="n">
        <v>6</v>
      </c>
      <c r="E118" t="s">
        <v>71</v>
      </c>
      <c r="F118" t="n">
        <v>1</v>
      </c>
      <c r="G118" t="s">
        <v>49</v>
      </c>
      <c r="H118" t="n">
        <v>606522</v>
      </c>
      <c r="I118"/>
      <c r="J118"/>
      <c r="K118" t="s">
        <v>129</v>
      </c>
      <c r="L118" t="s">
        <v>130</v>
      </c>
      <c r="M118" t="n">
        <v>0</v>
      </c>
      <c r="N118" t="n">
        <v>120</v>
      </c>
      <c r="O118" t="n">
        <v>29</v>
      </c>
      <c r="P118" t="n">
        <v>0</v>
      </c>
      <c r="Q118" t="s">
        <v>808</v>
      </c>
      <c r="R118" t="s">
        <v>809</v>
      </c>
      <c r="S118" t="s">
        <v>813</v>
      </c>
      <c r="T118" t="s">
        <v>762</v>
      </c>
      <c r="U118" t="s">
        <v>763</v>
      </c>
      <c r="V118" t="n">
        <v>3503208</v>
      </c>
      <c r="W118" t="s">
        <v>764</v>
      </c>
      <c r="X118" t="s">
        <v>253</v>
      </c>
      <c r="Y118" t="n">
        <v>95571</v>
      </c>
      <c r="Z118" t="s">
        <v>765</v>
      </c>
      <c r="AA118" t="s">
        <v>61</v>
      </c>
      <c r="AB118" t="s">
        <v>61</v>
      </c>
      <c r="AC118" s="1" t="n">
        <v>45791</v>
      </c>
      <c r="AD118" s="1" t="n">
        <v>45792</v>
      </c>
      <c r="AE118" s="1" t="n">
        <v>45792</v>
      </c>
      <c r="AF118" s="1" t="n">
        <v>45791</v>
      </c>
      <c r="AG118" s="1" t="n">
        <v>45365</v>
      </c>
      <c r="AH118" t="n">
        <v>8955</v>
      </c>
      <c r="AI118" t="s">
        <v>63</v>
      </c>
      <c r="AJ118" t="s">
        <v>766</v>
      </c>
      <c r="AK118" t="s">
        <v>65</v>
      </c>
      <c r="AL118" t="s">
        <v>84</v>
      </c>
      <c r="AM118" t="s">
        <v>140</v>
      </c>
      <c r="AN118" t="n">
        <v>14.3</v>
      </c>
      <c r="AO118" t="n">
        <v>26.28</v>
      </c>
      <c r="AP118" t="n">
        <v>11.98</v>
      </c>
      <c r="AQ118" t="n">
        <v>-3.67</v>
      </c>
      <c r="AR118" t="n">
        <v>44.25</v>
      </c>
      <c r="AS118" t="s">
        <v>68</v>
      </c>
      <c r="AT118"/>
    </row>
    <row r="119">
      <c r="A119" t="s">
        <v>814</v>
      </c>
      <c r="B119" t="n">
        <v>8184218</v>
      </c>
      <c r="C119" t="s">
        <v>70</v>
      </c>
      <c r="D119" t="n">
        <v>6</v>
      </c>
      <c r="E119" t="s">
        <v>71</v>
      </c>
      <c r="F119" t="n">
        <v>1</v>
      </c>
      <c r="G119" t="s">
        <v>49</v>
      </c>
      <c r="H119" t="n">
        <v>606522</v>
      </c>
      <c r="I119"/>
      <c r="J119" t="s">
        <v>50</v>
      </c>
      <c r="K119" t="s">
        <v>51</v>
      </c>
      <c r="L119" t="s">
        <v>52</v>
      </c>
      <c r="M119" t="n">
        <v>500</v>
      </c>
      <c r="N119" t="n">
        <v>500</v>
      </c>
      <c r="O119" t="n">
        <v>23.65</v>
      </c>
      <c r="P119" t="n">
        <v>0</v>
      </c>
      <c r="Q119" t="s">
        <v>380</v>
      </c>
      <c r="R119" t="s">
        <v>381</v>
      </c>
      <c r="S119" t="s">
        <v>815</v>
      </c>
      <c r="T119" t="s">
        <v>816</v>
      </c>
      <c r="U119" t="s">
        <v>817</v>
      </c>
      <c r="V119" t="n">
        <v>3550308</v>
      </c>
      <c r="W119" t="s">
        <v>463</v>
      </c>
      <c r="X119" t="s">
        <v>253</v>
      </c>
      <c r="Y119" t="n">
        <v>95574</v>
      </c>
      <c r="Z119" t="s">
        <v>818</v>
      </c>
      <c r="AA119" t="s">
        <v>61</v>
      </c>
      <c r="AB119" t="s">
        <v>61</v>
      </c>
      <c r="AC119" s="1" t="n">
        <v>45789</v>
      </c>
      <c r="AD119" s="1" t="n">
        <v>45790</v>
      </c>
      <c r="AE119" s="1" t="n">
        <v>45790</v>
      </c>
      <c r="AF119" s="1" t="n">
        <v>45789</v>
      </c>
      <c r="AG119" s="1" t="n">
        <v>45371</v>
      </c>
      <c r="AH119" t="n">
        <v>8955</v>
      </c>
      <c r="AI119" t="s">
        <v>63</v>
      </c>
      <c r="AJ119" t="s">
        <v>819</v>
      </c>
      <c r="AK119" t="s">
        <v>65</v>
      </c>
      <c r="AL119" t="s">
        <v>84</v>
      </c>
      <c r="AM119" t="s">
        <v>85</v>
      </c>
      <c r="AN119" t="n">
        <v>20.95</v>
      </c>
      <c r="AO119" t="n">
        <v>30.7825</v>
      </c>
      <c r="AP119" t="n">
        <v>9.8325</v>
      </c>
      <c r="AQ119" t="n">
        <v>6.20125</v>
      </c>
      <c r="AR119" t="n">
        <v>45.53125</v>
      </c>
      <c r="AS119" t="s">
        <v>68</v>
      </c>
      <c r="AT119"/>
    </row>
    <row r="120">
      <c r="A120" t="s">
        <v>820</v>
      </c>
      <c r="B120" t="n">
        <v>8169415</v>
      </c>
      <c r="C120" t="s">
        <v>70</v>
      </c>
      <c r="D120" t="n">
        <v>6</v>
      </c>
      <c r="E120" t="s">
        <v>568</v>
      </c>
      <c r="F120" t="n">
        <v>1</v>
      </c>
      <c r="G120" t="s">
        <v>49</v>
      </c>
      <c r="H120" t="n">
        <v>606522</v>
      </c>
      <c r="I120"/>
      <c r="J120" t="s">
        <v>50</v>
      </c>
      <c r="K120" t="s">
        <v>72</v>
      </c>
      <c r="L120" t="s">
        <v>73</v>
      </c>
      <c r="M120" t="n">
        <v>500</v>
      </c>
      <c r="N120" t="n">
        <v>400</v>
      </c>
      <c r="O120" t="n">
        <v>26.99</v>
      </c>
      <c r="P120" t="n">
        <v>0</v>
      </c>
      <c r="Q120" t="s">
        <v>821</v>
      </c>
      <c r="R120" t="s">
        <v>822</v>
      </c>
      <c r="S120" t="s">
        <v>823</v>
      </c>
      <c r="T120" t="s">
        <v>824</v>
      </c>
      <c r="U120" t="s">
        <v>825</v>
      </c>
      <c r="V120" t="n">
        <v>3205309</v>
      </c>
      <c r="W120" t="s">
        <v>826</v>
      </c>
      <c r="X120" t="s">
        <v>827</v>
      </c>
      <c r="Y120" t="n">
        <v>85057</v>
      </c>
      <c r="Z120" t="s">
        <v>825</v>
      </c>
      <c r="AA120" t="s">
        <v>61</v>
      </c>
      <c r="AB120" t="s">
        <v>61</v>
      </c>
      <c r="AC120" s="1" t="n">
        <v>45784</v>
      </c>
      <c r="AD120" s="1" t="n">
        <v>45786</v>
      </c>
      <c r="AE120" s="1" t="n">
        <v>45786</v>
      </c>
      <c r="AF120" s="1" t="n">
        <v>45785</v>
      </c>
      <c r="AG120" s="1" t="n">
        <v>46029</v>
      </c>
      <c r="AH120" t="n">
        <v>8955</v>
      </c>
      <c r="AI120" t="s">
        <v>63</v>
      </c>
      <c r="AJ120" t="s">
        <v>828</v>
      </c>
      <c r="AK120" t="s">
        <v>230</v>
      </c>
      <c r="AL120" t="s">
        <v>84</v>
      </c>
      <c r="AM120" t="s">
        <v>85</v>
      </c>
      <c r="AN120" t="n">
        <v>20.95</v>
      </c>
      <c r="AO120" t="n">
        <v>30.7825</v>
      </c>
      <c r="AP120" t="n">
        <v>9.8325</v>
      </c>
      <c r="AQ120" t="n">
        <v>6.20125</v>
      </c>
      <c r="AR120" t="n">
        <v>45.53125</v>
      </c>
      <c r="AS120" t="s">
        <v>68</v>
      </c>
      <c r="AT120"/>
    </row>
    <row r="121">
      <c r="A121" t="s">
        <v>829</v>
      </c>
      <c r="B121" t="n">
        <v>7654672</v>
      </c>
      <c r="C121" t="s">
        <v>47</v>
      </c>
      <c r="D121" t="n">
        <v>5</v>
      </c>
      <c r="E121" t="s">
        <v>48</v>
      </c>
      <c r="F121" t="n">
        <v>278</v>
      </c>
      <c r="G121" t="s">
        <v>49</v>
      </c>
      <c r="H121" t="n">
        <v>606522</v>
      </c>
      <c r="I121"/>
      <c r="J121" t="s">
        <v>50</v>
      </c>
      <c r="K121" t="s">
        <v>72</v>
      </c>
      <c r="L121" t="s">
        <v>73</v>
      </c>
      <c r="M121" t="n">
        <v>500</v>
      </c>
      <c r="N121" t="n">
        <v>2000</v>
      </c>
      <c r="O121" t="n">
        <v>12.29</v>
      </c>
      <c r="P121" t="n">
        <v>0</v>
      </c>
      <c r="Q121" t="s">
        <v>830</v>
      </c>
      <c r="R121" t="s">
        <v>831</v>
      </c>
      <c r="S121" t="s">
        <v>832</v>
      </c>
      <c r="T121" t="s">
        <v>833</v>
      </c>
      <c r="U121" t="s">
        <v>834</v>
      </c>
      <c r="V121" t="n">
        <v>2100204</v>
      </c>
      <c r="W121" t="s">
        <v>835</v>
      </c>
      <c r="X121" t="s">
        <v>192</v>
      </c>
      <c r="Y121" t="n">
        <v>52111</v>
      </c>
      <c r="Z121" t="s">
        <v>138</v>
      </c>
      <c r="AA121" t="s">
        <v>61</v>
      </c>
      <c r="AB121" t="s">
        <v>62</v>
      </c>
      <c r="AC121" s="1" t="n">
        <v>45784</v>
      </c>
      <c r="AD121" s="1" t="n">
        <v>45785</v>
      </c>
      <c r="AE121" s="1" t="n">
        <v>45785</v>
      </c>
      <c r="AF121" s="1" t="n">
        <v>45784</v>
      </c>
      <c r="AG121" s="1" t="n">
        <v>46105</v>
      </c>
      <c r="AH121" t="n">
        <v>8955</v>
      </c>
      <c r="AI121" t="s">
        <v>63</v>
      </c>
      <c r="AJ121" t="s">
        <v>836</v>
      </c>
      <c r="AK121" t="s">
        <v>65</v>
      </c>
      <c r="AL121" t="s">
        <v>151</v>
      </c>
      <c r="AM121" t="s">
        <v>85</v>
      </c>
      <c r="AN121" t="n">
        <v>20.95</v>
      </c>
      <c r="AO121" t="n">
        <v>30.7825</v>
      </c>
      <c r="AP121" t="n">
        <v>9.8325</v>
      </c>
      <c r="AQ121" t="n">
        <v>6.20125</v>
      </c>
      <c r="AR121" t="n">
        <v>45.53125</v>
      </c>
      <c r="AS121" t="s">
        <v>68</v>
      </c>
      <c r="AT121"/>
    </row>
    <row r="122">
      <c r="A122" t="s">
        <v>837</v>
      </c>
      <c r="B122" t="n">
        <v>8157011</v>
      </c>
      <c r="C122" t="s">
        <v>70</v>
      </c>
      <c r="D122" t="n">
        <v>5</v>
      </c>
      <c r="E122" t="s">
        <v>48</v>
      </c>
      <c r="F122" t="n">
        <v>8</v>
      </c>
      <c r="G122" t="s">
        <v>49</v>
      </c>
      <c r="H122" t="n">
        <v>606522</v>
      </c>
      <c r="I122"/>
      <c r="J122" t="s">
        <v>50</v>
      </c>
      <c r="K122" t="s">
        <v>72</v>
      </c>
      <c r="L122" t="s">
        <v>73</v>
      </c>
      <c r="M122" t="n">
        <v>500</v>
      </c>
      <c r="N122" t="n">
        <v>500</v>
      </c>
      <c r="O122" t="n">
        <v>23.4</v>
      </c>
      <c r="P122" t="n">
        <v>0</v>
      </c>
      <c r="Q122" t="s">
        <v>838</v>
      </c>
      <c r="R122" t="s">
        <v>839</v>
      </c>
      <c r="S122" t="s">
        <v>691</v>
      </c>
      <c r="T122" t="s">
        <v>840</v>
      </c>
      <c r="U122" t="s">
        <v>841</v>
      </c>
      <c r="V122" t="n">
        <v>1303700</v>
      </c>
      <c r="W122" t="s">
        <v>842</v>
      </c>
      <c r="X122" t="s">
        <v>137</v>
      </c>
      <c r="Y122" t="n">
        <v>93381</v>
      </c>
      <c r="Z122" t="s">
        <v>841</v>
      </c>
      <c r="AA122" t="s">
        <v>61</v>
      </c>
      <c r="AB122" t="s">
        <v>81</v>
      </c>
      <c r="AC122" s="1" t="n">
        <v>45784</v>
      </c>
      <c r="AD122" s="1" t="n">
        <v>45785</v>
      </c>
      <c r="AE122" s="1" t="n">
        <v>45785</v>
      </c>
      <c r="AF122" s="1" t="n">
        <v>45784</v>
      </c>
      <c r="AG122" s="1" t="n">
        <v>45396</v>
      </c>
      <c r="AH122" t="n">
        <v>8955</v>
      </c>
      <c r="AI122" t="s">
        <v>63</v>
      </c>
      <c r="AJ122" t="s">
        <v>843</v>
      </c>
      <c r="AK122" t="s">
        <v>65</v>
      </c>
      <c r="AL122" t="s">
        <v>66</v>
      </c>
      <c r="AM122" t="s">
        <v>85</v>
      </c>
      <c r="AN122" t="n">
        <v>20.95</v>
      </c>
      <c r="AO122" t="n">
        <v>30.7825</v>
      </c>
      <c r="AP122" t="n">
        <v>9.8325</v>
      </c>
      <c r="AQ122" t="n">
        <v>6.20125</v>
      </c>
      <c r="AR122" t="n">
        <v>45.53125</v>
      </c>
      <c r="AS122" t="s">
        <v>68</v>
      </c>
      <c r="AT122"/>
    </row>
    <row r="123">
      <c r="A123" t="s">
        <v>837</v>
      </c>
      <c r="B123" t="n">
        <v>8157080</v>
      </c>
      <c r="C123" t="s">
        <v>70</v>
      </c>
      <c r="D123" t="n">
        <v>5</v>
      </c>
      <c r="E123" t="s">
        <v>48</v>
      </c>
      <c r="F123" t="n">
        <v>77</v>
      </c>
      <c r="G123" t="s">
        <v>49</v>
      </c>
      <c r="H123" t="n">
        <v>606522</v>
      </c>
      <c r="I123"/>
      <c r="J123" t="s">
        <v>50</v>
      </c>
      <c r="K123" t="s">
        <v>51</v>
      </c>
      <c r="L123" t="s">
        <v>52</v>
      </c>
      <c r="M123" t="n">
        <v>250</v>
      </c>
      <c r="N123" t="n">
        <v>4000</v>
      </c>
      <c r="O123" t="n">
        <v>8.24</v>
      </c>
      <c r="P123" t="n">
        <v>0</v>
      </c>
      <c r="Q123" t="s">
        <v>844</v>
      </c>
      <c r="R123" t="s">
        <v>845</v>
      </c>
      <c r="S123" t="s">
        <v>846</v>
      </c>
      <c r="T123" t="s">
        <v>840</v>
      </c>
      <c r="U123" t="s">
        <v>841</v>
      </c>
      <c r="V123" t="n">
        <v>1303700</v>
      </c>
      <c r="W123" t="s">
        <v>842</v>
      </c>
      <c r="X123" t="s">
        <v>137</v>
      </c>
      <c r="Y123" t="n">
        <v>93381</v>
      </c>
      <c r="Z123" t="s">
        <v>841</v>
      </c>
      <c r="AA123" t="s">
        <v>61</v>
      </c>
      <c r="AB123" t="s">
        <v>81</v>
      </c>
      <c r="AC123" s="1" t="n">
        <v>45784</v>
      </c>
      <c r="AD123" s="1" t="n">
        <v>45785</v>
      </c>
      <c r="AE123" s="1" t="n">
        <v>45785</v>
      </c>
      <c r="AF123" s="1" t="n">
        <v>45784</v>
      </c>
      <c r="AG123" s="1" t="n">
        <v>45396</v>
      </c>
      <c r="AH123" t="n">
        <v>8955</v>
      </c>
      <c r="AI123" t="s">
        <v>63</v>
      </c>
      <c r="AJ123" t="s">
        <v>843</v>
      </c>
      <c r="AK123" t="s">
        <v>65</v>
      </c>
      <c r="AL123" t="s">
        <v>66</v>
      </c>
      <c r="AM123" t="s">
        <v>67</v>
      </c>
      <c r="AN123" t="n">
        <v>13.22</v>
      </c>
      <c r="AO123" t="n">
        <v>16.9</v>
      </c>
      <c r="AP123" t="n">
        <v>3.68</v>
      </c>
      <c r="AQ123" t="n">
        <v>7.7</v>
      </c>
      <c r="AR123" t="n">
        <v>22.42</v>
      </c>
      <c r="AS123" t="s">
        <v>68</v>
      </c>
      <c r="AT123"/>
    </row>
    <row r="124">
      <c r="A124" t="s">
        <v>847</v>
      </c>
      <c r="B124" t="n">
        <v>8142437</v>
      </c>
      <c r="C124" t="s">
        <v>70</v>
      </c>
      <c r="D124" t="n">
        <v>6</v>
      </c>
      <c r="E124" t="s">
        <v>568</v>
      </c>
      <c r="F124" t="n">
        <v>1</v>
      </c>
      <c r="G124" t="s">
        <v>49</v>
      </c>
      <c r="H124" t="n">
        <v>606522</v>
      </c>
      <c r="I124"/>
      <c r="J124" t="s">
        <v>50</v>
      </c>
      <c r="K124" t="s">
        <v>51</v>
      </c>
      <c r="L124" t="s">
        <v>52</v>
      </c>
      <c r="M124" t="n">
        <v>500</v>
      </c>
      <c r="N124" t="n">
        <v>150</v>
      </c>
      <c r="O124" t="n">
        <v>38.99</v>
      </c>
      <c r="P124" t="n">
        <v>0</v>
      </c>
      <c r="Q124" t="s">
        <v>848</v>
      </c>
      <c r="R124" t="s">
        <v>849</v>
      </c>
      <c r="S124" t="s">
        <v>850</v>
      </c>
      <c r="T124" t="s">
        <v>851</v>
      </c>
      <c r="U124" t="s">
        <v>852</v>
      </c>
      <c r="V124" t="n">
        <v>3106200</v>
      </c>
      <c r="W124" t="s">
        <v>116</v>
      </c>
      <c r="X124" t="s">
        <v>117</v>
      </c>
      <c r="Y124" t="n">
        <v>36201</v>
      </c>
      <c r="Z124" t="s">
        <v>204</v>
      </c>
      <c r="AA124" t="s">
        <v>61</v>
      </c>
      <c r="AB124" t="s">
        <v>62</v>
      </c>
      <c r="AC124" s="1" t="n">
        <v>45782</v>
      </c>
      <c r="AD124" s="1" t="n">
        <v>45784</v>
      </c>
      <c r="AE124" s="1" t="n">
        <v>45784</v>
      </c>
      <c r="AF124" s="1" t="n">
        <v>45783</v>
      </c>
      <c r="AG124" s="1" t="n">
        <v>45910</v>
      </c>
      <c r="AH124" t="n">
        <v>8955</v>
      </c>
      <c r="AI124" t="s">
        <v>63</v>
      </c>
      <c r="AJ124" t="s">
        <v>810</v>
      </c>
      <c r="AK124" t="s">
        <v>230</v>
      </c>
      <c r="AL124" t="s">
        <v>84</v>
      </c>
      <c r="AM124" t="s">
        <v>85</v>
      </c>
      <c r="AN124" t="n">
        <v>20.95</v>
      </c>
      <c r="AO124" t="n">
        <v>30.7825</v>
      </c>
      <c r="AP124" t="n">
        <v>9.8325</v>
      </c>
      <c r="AQ124" t="n">
        <v>6.20125</v>
      </c>
      <c r="AR124" t="n">
        <v>45.53125</v>
      </c>
      <c r="AS124" t="s">
        <v>68</v>
      </c>
      <c r="AT124"/>
    </row>
    <row r="125">
      <c r="A125" t="s">
        <v>853</v>
      </c>
      <c r="B125" t="n">
        <v>8104229</v>
      </c>
      <c r="C125" t="s">
        <v>47</v>
      </c>
      <c r="D125" t="n">
        <v>5</v>
      </c>
      <c r="E125" t="s">
        <v>48</v>
      </c>
      <c r="F125" t="n">
        <v>3</v>
      </c>
      <c r="G125" t="s">
        <v>49</v>
      </c>
      <c r="H125" t="n">
        <v>606522</v>
      </c>
      <c r="I125"/>
      <c r="J125" t="s">
        <v>50</v>
      </c>
      <c r="K125" t="s">
        <v>51</v>
      </c>
      <c r="L125" t="s">
        <v>52</v>
      </c>
      <c r="M125" t="n">
        <v>250</v>
      </c>
      <c r="N125" t="n">
        <v>3198</v>
      </c>
      <c r="O125" t="n">
        <v>11.66</v>
      </c>
      <c r="P125" t="n">
        <v>0</v>
      </c>
      <c r="Q125" t="s">
        <v>854</v>
      </c>
      <c r="R125" t="s">
        <v>855</v>
      </c>
      <c r="S125" t="s">
        <v>777</v>
      </c>
      <c r="T125" t="s">
        <v>856</v>
      </c>
      <c r="U125" t="s">
        <v>857</v>
      </c>
      <c r="V125" t="n">
        <v>2211001</v>
      </c>
      <c r="W125" t="s">
        <v>621</v>
      </c>
      <c r="X125" t="s">
        <v>622</v>
      </c>
      <c r="Y125" t="n">
        <v>94228</v>
      </c>
      <c r="Z125" t="s">
        <v>857</v>
      </c>
      <c r="AA125" t="s">
        <v>61</v>
      </c>
      <c r="AB125" t="s">
        <v>81</v>
      </c>
      <c r="AC125" s="1" t="n">
        <v>45777</v>
      </c>
      <c r="AD125" s="1" t="n">
        <v>45782</v>
      </c>
      <c r="AE125" s="1" t="n">
        <v>45778</v>
      </c>
      <c r="AF125" s="1" t="n">
        <v>45777</v>
      </c>
      <c r="AG125" s="1" t="n">
        <v>45577</v>
      </c>
      <c r="AH125" t="n">
        <v>8955</v>
      </c>
      <c r="AI125" t="s">
        <v>63</v>
      </c>
      <c r="AJ125" t="s">
        <v>858</v>
      </c>
      <c r="AK125" t="s">
        <v>65</v>
      </c>
      <c r="AL125" t="s">
        <v>151</v>
      </c>
      <c r="AM125" t="s">
        <v>67</v>
      </c>
      <c r="AN125" t="n">
        <v>13.22</v>
      </c>
      <c r="AO125" t="n">
        <v>16.9</v>
      </c>
      <c r="AP125" t="n">
        <v>3.68</v>
      </c>
      <c r="AQ125" t="n">
        <v>7.7</v>
      </c>
      <c r="AR125" t="n">
        <v>22.42</v>
      </c>
      <c r="AS125" t="s">
        <v>68</v>
      </c>
      <c r="AT125"/>
    </row>
    <row r="126">
      <c r="A126" t="s">
        <v>859</v>
      </c>
      <c r="B126" t="n">
        <v>8097366</v>
      </c>
      <c r="C126" t="s">
        <v>70</v>
      </c>
      <c r="D126" t="n">
        <v>6</v>
      </c>
      <c r="E126" t="s">
        <v>71</v>
      </c>
      <c r="F126" t="n">
        <v>1</v>
      </c>
      <c r="G126" t="s">
        <v>49</v>
      </c>
      <c r="H126" t="n">
        <v>606522</v>
      </c>
      <c r="I126"/>
      <c r="J126" t="s">
        <v>50</v>
      </c>
      <c r="K126" t="s">
        <v>51</v>
      </c>
      <c r="L126" t="s">
        <v>52</v>
      </c>
      <c r="M126" t="n">
        <v>250</v>
      </c>
      <c r="N126" t="n">
        <v>1000</v>
      </c>
      <c r="O126" t="n">
        <v>15.8</v>
      </c>
      <c r="P126" t="n">
        <v>0</v>
      </c>
      <c r="Q126" t="s">
        <v>860</v>
      </c>
      <c r="R126" t="s">
        <v>861</v>
      </c>
      <c r="S126" t="s">
        <v>862</v>
      </c>
      <c r="T126" t="s">
        <v>863</v>
      </c>
      <c r="U126" t="s">
        <v>864</v>
      </c>
      <c r="V126" t="n">
        <v>2408102</v>
      </c>
      <c r="W126" t="s">
        <v>221</v>
      </c>
      <c r="X126" t="s">
        <v>148</v>
      </c>
      <c r="Y126" t="n">
        <v>15000</v>
      </c>
      <c r="Z126" t="s">
        <v>193</v>
      </c>
      <c r="AA126" t="s">
        <v>194</v>
      </c>
      <c r="AB126" t="s">
        <v>62</v>
      </c>
      <c r="AC126" s="1" t="n">
        <v>45777</v>
      </c>
      <c r="AD126" s="1" t="n">
        <v>45778</v>
      </c>
      <c r="AE126" s="1" t="n">
        <v>45778</v>
      </c>
      <c r="AF126" s="1" t="n">
        <v>45777</v>
      </c>
      <c r="AG126" s="1" t="n">
        <v>46098</v>
      </c>
      <c r="AH126" t="n">
        <v>8955</v>
      </c>
      <c r="AI126" t="s">
        <v>63</v>
      </c>
      <c r="AJ126" t="s">
        <v>865</v>
      </c>
      <c r="AK126" t="s">
        <v>65</v>
      </c>
      <c r="AL126" t="s">
        <v>151</v>
      </c>
      <c r="AM126" t="s">
        <v>67</v>
      </c>
      <c r="AN126" t="n">
        <v>13.22</v>
      </c>
      <c r="AO126" t="n">
        <v>16.9</v>
      </c>
      <c r="AP126" t="n">
        <v>3.68</v>
      </c>
      <c r="AQ126" t="n">
        <v>7.7</v>
      </c>
      <c r="AR126" t="n">
        <v>22.42</v>
      </c>
      <c r="AS126" t="s">
        <v>68</v>
      </c>
      <c r="AT126"/>
    </row>
    <row r="127">
      <c r="A127" t="s">
        <v>853</v>
      </c>
      <c r="B127" t="n">
        <v>8104228</v>
      </c>
      <c r="C127" t="s">
        <v>47</v>
      </c>
      <c r="D127" t="n">
        <v>5</v>
      </c>
      <c r="E127" t="s">
        <v>48</v>
      </c>
      <c r="F127" t="n">
        <v>2</v>
      </c>
      <c r="G127" t="s">
        <v>49</v>
      </c>
      <c r="H127" t="n">
        <v>606522</v>
      </c>
      <c r="I127"/>
      <c r="J127" t="s">
        <v>50</v>
      </c>
      <c r="K127" t="s">
        <v>51</v>
      </c>
      <c r="L127" t="s">
        <v>52</v>
      </c>
      <c r="M127" t="n">
        <v>250</v>
      </c>
      <c r="N127" t="n">
        <v>9592</v>
      </c>
      <c r="O127" t="n">
        <v>11.66</v>
      </c>
      <c r="P127" t="n">
        <v>0</v>
      </c>
      <c r="Q127" t="s">
        <v>854</v>
      </c>
      <c r="R127" t="s">
        <v>855</v>
      </c>
      <c r="S127" t="s">
        <v>777</v>
      </c>
      <c r="T127" t="s">
        <v>856</v>
      </c>
      <c r="U127" t="s">
        <v>857</v>
      </c>
      <c r="V127" t="n">
        <v>2211001</v>
      </c>
      <c r="W127" t="s">
        <v>621</v>
      </c>
      <c r="X127" t="s">
        <v>622</v>
      </c>
      <c r="Y127" t="n">
        <v>94228</v>
      </c>
      <c r="Z127" t="s">
        <v>857</v>
      </c>
      <c r="AA127" t="s">
        <v>61</v>
      </c>
      <c r="AB127" t="s">
        <v>81</v>
      </c>
      <c r="AC127" s="1" t="n">
        <v>45777</v>
      </c>
      <c r="AD127" s="1" t="n">
        <v>45782</v>
      </c>
      <c r="AE127" s="1" t="n">
        <v>45778</v>
      </c>
      <c r="AF127" s="1" t="n">
        <v>45777</v>
      </c>
      <c r="AG127" s="1" t="n">
        <v>45577</v>
      </c>
      <c r="AH127" t="n">
        <v>8955</v>
      </c>
      <c r="AI127" t="s">
        <v>63</v>
      </c>
      <c r="AJ127" t="s">
        <v>858</v>
      </c>
      <c r="AK127" t="s">
        <v>65</v>
      </c>
      <c r="AL127" t="s">
        <v>151</v>
      </c>
      <c r="AM127" t="s">
        <v>67</v>
      </c>
      <c r="AN127" t="n">
        <v>13.22</v>
      </c>
      <c r="AO127" t="n">
        <v>16.9</v>
      </c>
      <c r="AP127" t="n">
        <v>3.68</v>
      </c>
      <c r="AQ127" t="n">
        <v>7.7</v>
      </c>
      <c r="AR127" t="n">
        <v>22.42</v>
      </c>
      <c r="AS127" t="s">
        <v>68</v>
      </c>
      <c r="AT127"/>
    </row>
    <row r="128">
      <c r="A128" t="s">
        <v>866</v>
      </c>
      <c r="B128" t="n">
        <v>7920036</v>
      </c>
      <c r="C128" t="s">
        <v>70</v>
      </c>
      <c r="D128" t="n">
        <v>6</v>
      </c>
      <c r="E128" t="s">
        <v>71</v>
      </c>
      <c r="F128" t="n">
        <v>1</v>
      </c>
      <c r="G128" t="s">
        <v>49</v>
      </c>
      <c r="H128" t="n">
        <v>606522</v>
      </c>
      <c r="I128"/>
      <c r="J128" t="s">
        <v>50</v>
      </c>
      <c r="K128" t="s">
        <v>51</v>
      </c>
      <c r="L128" t="s">
        <v>52</v>
      </c>
      <c r="M128" t="n">
        <v>500</v>
      </c>
      <c r="N128" t="n">
        <v>1843</v>
      </c>
      <c r="O128" t="n">
        <v>25.87</v>
      </c>
      <c r="P128" t="n">
        <v>0</v>
      </c>
      <c r="Q128" t="s">
        <v>95</v>
      </c>
      <c r="R128" t="s">
        <v>96</v>
      </c>
      <c r="S128" t="s">
        <v>55</v>
      </c>
      <c r="T128" t="s">
        <v>867</v>
      </c>
      <c r="U128" t="s">
        <v>868</v>
      </c>
      <c r="V128" t="n">
        <v>3304557</v>
      </c>
      <c r="W128" t="s">
        <v>203</v>
      </c>
      <c r="X128" t="s">
        <v>80</v>
      </c>
      <c r="Y128" t="n">
        <v>30108</v>
      </c>
      <c r="Z128" t="s">
        <v>222</v>
      </c>
      <c r="AA128" t="s">
        <v>61</v>
      </c>
      <c r="AB128" t="s">
        <v>62</v>
      </c>
      <c r="AC128" s="1" t="n">
        <v>45757</v>
      </c>
      <c r="AD128" s="1" t="n">
        <v>45758</v>
      </c>
      <c r="AE128" s="1" t="n">
        <v>45758</v>
      </c>
      <c r="AF128" s="1" t="n">
        <v>45757</v>
      </c>
      <c r="AG128" s="1" t="n">
        <v>46058</v>
      </c>
      <c r="AH128" t="n">
        <v>8955</v>
      </c>
      <c r="AI128" t="s">
        <v>63</v>
      </c>
      <c r="AJ128" t="s">
        <v>869</v>
      </c>
      <c r="AK128" t="s">
        <v>65</v>
      </c>
      <c r="AL128" t="s">
        <v>84</v>
      </c>
      <c r="AM128" t="s">
        <v>85</v>
      </c>
      <c r="AN128" t="n">
        <v>20.95</v>
      </c>
      <c r="AO128" t="n">
        <v>30.7825</v>
      </c>
      <c r="AP128" t="n">
        <v>9.8325</v>
      </c>
      <c r="AQ128" t="n">
        <v>6.20125</v>
      </c>
      <c r="AR128" t="n">
        <v>45.53125</v>
      </c>
      <c r="AS128" t="s">
        <v>68</v>
      </c>
      <c r="AT128"/>
    </row>
    <row r="129">
      <c r="A129" t="s">
        <v>870</v>
      </c>
      <c r="B129" t="n">
        <v>7879211</v>
      </c>
      <c r="C129" t="s">
        <v>70</v>
      </c>
      <c r="D129" t="n">
        <v>6</v>
      </c>
      <c r="E129" t="s">
        <v>71</v>
      </c>
      <c r="F129" t="n">
        <v>1</v>
      </c>
      <c r="G129" t="s">
        <v>49</v>
      </c>
      <c r="H129" t="n">
        <v>606522</v>
      </c>
      <c r="I129"/>
      <c r="J129" t="s">
        <v>50</v>
      </c>
      <c r="K129" t="s">
        <v>51</v>
      </c>
      <c r="L129" t="s">
        <v>52</v>
      </c>
      <c r="M129" t="n">
        <v>500</v>
      </c>
      <c r="N129" t="n">
        <v>600</v>
      </c>
      <c r="O129" t="n">
        <v>27.485</v>
      </c>
      <c r="P129" t="n">
        <v>0</v>
      </c>
      <c r="Q129" t="s">
        <v>871</v>
      </c>
      <c r="R129" t="s">
        <v>872</v>
      </c>
      <c r="S129" t="s">
        <v>873</v>
      </c>
      <c r="T129" t="s">
        <v>90</v>
      </c>
      <c r="U129" t="s">
        <v>91</v>
      </c>
      <c r="V129" t="n">
        <v>3303302</v>
      </c>
      <c r="W129" t="s">
        <v>92</v>
      </c>
      <c r="X129" t="s">
        <v>80</v>
      </c>
      <c r="Y129" t="n">
        <v>99756</v>
      </c>
      <c r="Z129" t="s">
        <v>91</v>
      </c>
      <c r="AA129" t="s">
        <v>61</v>
      </c>
      <c r="AB129" t="s">
        <v>81</v>
      </c>
      <c r="AC129" s="1" t="n">
        <v>45754</v>
      </c>
      <c r="AD129" s="1" t="n">
        <v>45996</v>
      </c>
      <c r="AE129" s="1" t="n">
        <v>45755</v>
      </c>
      <c r="AF129" s="1" t="n">
        <v>45754</v>
      </c>
      <c r="AG129" s="1" t="n">
        <v>45577</v>
      </c>
      <c r="AH129" t="n">
        <v>8955</v>
      </c>
      <c r="AI129" t="s">
        <v>63</v>
      </c>
      <c r="AJ129" t="s">
        <v>874</v>
      </c>
      <c r="AK129" t="s">
        <v>65</v>
      </c>
      <c r="AL129" t="s">
        <v>84</v>
      </c>
      <c r="AM129" t="s">
        <v>85</v>
      </c>
      <c r="AN129" t="n">
        <v>20.95</v>
      </c>
      <c r="AO129" t="n">
        <v>30.7825</v>
      </c>
      <c r="AP129" t="n">
        <v>9.8325</v>
      </c>
      <c r="AQ129" t="n">
        <v>6.20125</v>
      </c>
      <c r="AR129" t="n">
        <v>45.53125</v>
      </c>
      <c r="AS129" t="s">
        <v>68</v>
      </c>
      <c r="AT129"/>
    </row>
    <row r="130">
      <c r="A130" t="s">
        <v>875</v>
      </c>
      <c r="B130" t="n">
        <v>7369714</v>
      </c>
      <c r="C130" t="s">
        <v>47</v>
      </c>
      <c r="D130" t="n">
        <v>5</v>
      </c>
      <c r="E130" t="s">
        <v>48</v>
      </c>
      <c r="F130" t="n">
        <v>10</v>
      </c>
      <c r="G130" t="s">
        <v>49</v>
      </c>
      <c r="H130" t="n">
        <v>606522</v>
      </c>
      <c r="I130"/>
      <c r="J130" t="s">
        <v>399</v>
      </c>
      <c r="K130" t="s">
        <v>51</v>
      </c>
      <c r="L130" t="s">
        <v>52</v>
      </c>
      <c r="M130" t="n">
        <v>1</v>
      </c>
      <c r="N130" t="n">
        <v>78</v>
      </c>
      <c r="O130" t="n">
        <v>37.49</v>
      </c>
      <c r="P130" t="n">
        <v>0</v>
      </c>
      <c r="Q130" t="s">
        <v>876</v>
      </c>
      <c r="R130" t="s">
        <v>877</v>
      </c>
      <c r="S130" t="s">
        <v>878</v>
      </c>
      <c r="T130" t="s">
        <v>879</v>
      </c>
      <c r="U130" t="s">
        <v>880</v>
      </c>
      <c r="V130" t="n">
        <v>1702208</v>
      </c>
      <c r="W130" t="s">
        <v>881</v>
      </c>
      <c r="X130" t="s">
        <v>882</v>
      </c>
      <c r="Y130" t="n">
        <v>93844</v>
      </c>
      <c r="Z130" t="s">
        <v>883</v>
      </c>
      <c r="AA130" t="s">
        <v>61</v>
      </c>
      <c r="AB130" t="s">
        <v>61</v>
      </c>
      <c r="AC130" s="1" t="n">
        <v>45747</v>
      </c>
      <c r="AD130" s="1" t="n">
        <v>45748</v>
      </c>
      <c r="AE130" s="1" t="n">
        <v>45748</v>
      </c>
      <c r="AF130" s="1" t="n">
        <v>45747</v>
      </c>
      <c r="AG130" s="1" t="n">
        <v>45972</v>
      </c>
      <c r="AH130" t="n">
        <v>8955</v>
      </c>
      <c r="AI130" t="s">
        <v>63</v>
      </c>
      <c r="AJ130" t="s">
        <v>884</v>
      </c>
      <c r="AK130" t="s">
        <v>65</v>
      </c>
      <c r="AL130" t="s">
        <v>66</v>
      </c>
      <c r="AM130" t="s">
        <v>407</v>
      </c>
      <c r="AN130" t="n">
        <v>45.5</v>
      </c>
      <c r="AO130" t="n">
        <v>63.36</v>
      </c>
      <c r="AP130" t="n">
        <v>17.86</v>
      </c>
      <c r="AQ130" t="n">
        <v>18.71</v>
      </c>
      <c r="AR130" t="n">
        <v>90.15</v>
      </c>
      <c r="AS130" t="s">
        <v>68</v>
      </c>
      <c r="AT130"/>
    </row>
    <row r="131">
      <c r="A131" t="s">
        <v>885</v>
      </c>
      <c r="B131" t="n">
        <v>7800561</v>
      </c>
      <c r="C131" t="s">
        <v>47</v>
      </c>
      <c r="D131" t="n">
        <v>5</v>
      </c>
      <c r="E131" t="s">
        <v>48</v>
      </c>
      <c r="F131" t="n">
        <v>5</v>
      </c>
      <c r="G131" t="s">
        <v>49</v>
      </c>
      <c r="H131" t="n">
        <v>606522</v>
      </c>
      <c r="I131"/>
      <c r="J131"/>
      <c r="K131" t="s">
        <v>129</v>
      </c>
      <c r="L131" t="s">
        <v>130</v>
      </c>
      <c r="M131" t="n">
        <v>0</v>
      </c>
      <c r="N131" t="n">
        <v>528</v>
      </c>
      <c r="O131" t="n">
        <v>8.2</v>
      </c>
      <c r="P131" t="n">
        <v>0</v>
      </c>
      <c r="Q131" t="s">
        <v>886</v>
      </c>
      <c r="R131" t="s">
        <v>887</v>
      </c>
      <c r="S131" t="s">
        <v>888</v>
      </c>
      <c r="T131" t="s">
        <v>434</v>
      </c>
      <c r="U131" t="s">
        <v>435</v>
      </c>
      <c r="V131" t="n">
        <v>1200401</v>
      </c>
      <c r="W131" t="s">
        <v>436</v>
      </c>
      <c r="X131" t="s">
        <v>437</v>
      </c>
      <c r="Y131" t="n">
        <v>93218</v>
      </c>
      <c r="Z131" t="s">
        <v>435</v>
      </c>
      <c r="AA131" t="s">
        <v>61</v>
      </c>
      <c r="AB131" t="s">
        <v>61</v>
      </c>
      <c r="AC131" s="1" t="n">
        <v>45747</v>
      </c>
      <c r="AD131" s="1" t="n">
        <v>45748</v>
      </c>
      <c r="AE131" s="1" t="n">
        <v>45748</v>
      </c>
      <c r="AF131" s="1" t="n">
        <v>45747</v>
      </c>
      <c r="AG131" s="1" t="n">
        <v>45570</v>
      </c>
      <c r="AH131" t="n">
        <v>8955</v>
      </c>
      <c r="AI131" t="s">
        <v>63</v>
      </c>
      <c r="AJ131" t="s">
        <v>889</v>
      </c>
      <c r="AK131" t="s">
        <v>65</v>
      </c>
      <c r="AL131" t="s">
        <v>66</v>
      </c>
      <c r="AM131" t="s">
        <v>140</v>
      </c>
      <c r="AN131" t="n">
        <v>14.3</v>
      </c>
      <c r="AO131" t="n">
        <v>26.28</v>
      </c>
      <c r="AP131" t="n">
        <v>11.98</v>
      </c>
      <c r="AQ131" t="n">
        <v>-3.67</v>
      </c>
      <c r="AR131" t="n">
        <v>44.25</v>
      </c>
      <c r="AS131" t="s">
        <v>68</v>
      </c>
      <c r="AT131"/>
    </row>
    <row r="132">
      <c r="A132" t="s">
        <v>890</v>
      </c>
      <c r="B132" t="n">
        <v>7822850</v>
      </c>
      <c r="C132" t="s">
        <v>70</v>
      </c>
      <c r="D132" t="n">
        <v>6</v>
      </c>
      <c r="E132" t="s">
        <v>71</v>
      </c>
      <c r="F132" t="n">
        <v>30</v>
      </c>
      <c r="G132" t="s">
        <v>49</v>
      </c>
      <c r="H132" t="n">
        <v>606522</v>
      </c>
      <c r="I132"/>
      <c r="J132" t="s">
        <v>50</v>
      </c>
      <c r="K132" t="s">
        <v>51</v>
      </c>
      <c r="L132" t="s">
        <v>52</v>
      </c>
      <c r="M132" t="n">
        <v>500</v>
      </c>
      <c r="N132" t="n">
        <v>200</v>
      </c>
      <c r="O132" t="n">
        <v>19.6</v>
      </c>
      <c r="P132" t="n">
        <v>0</v>
      </c>
      <c r="Q132" t="s">
        <v>891</v>
      </c>
      <c r="R132" t="s">
        <v>892</v>
      </c>
      <c r="S132" t="s">
        <v>893</v>
      </c>
      <c r="T132" t="s">
        <v>894</v>
      </c>
      <c r="U132" t="s">
        <v>895</v>
      </c>
      <c r="V132" t="n">
        <v>3303005</v>
      </c>
      <c r="W132" t="s">
        <v>896</v>
      </c>
      <c r="X132" t="s">
        <v>80</v>
      </c>
      <c r="Y132" t="n">
        <v>99026</v>
      </c>
      <c r="Z132" t="s">
        <v>895</v>
      </c>
      <c r="AA132" t="s">
        <v>61</v>
      </c>
      <c r="AB132" t="s">
        <v>81</v>
      </c>
      <c r="AC132" s="1" t="n">
        <v>45747</v>
      </c>
      <c r="AD132" s="1" t="n">
        <v>45748</v>
      </c>
      <c r="AE132" s="1" t="n">
        <v>45748</v>
      </c>
      <c r="AF132" s="1" t="n">
        <v>45747</v>
      </c>
      <c r="AG132" s="1" t="n">
        <v>45388</v>
      </c>
      <c r="AH132" t="n">
        <v>8955</v>
      </c>
      <c r="AI132" t="s">
        <v>63</v>
      </c>
      <c r="AJ132" t="s">
        <v>897</v>
      </c>
      <c r="AK132" t="s">
        <v>65</v>
      </c>
      <c r="AL132" t="s">
        <v>84</v>
      </c>
      <c r="AM132" t="s">
        <v>85</v>
      </c>
      <c r="AN132" t="n">
        <v>20.95</v>
      </c>
      <c r="AO132" t="n">
        <v>30.7825</v>
      </c>
      <c r="AP132" t="n">
        <v>9.8325</v>
      </c>
      <c r="AQ132" t="n">
        <v>6.20125</v>
      </c>
      <c r="AR132" t="n">
        <v>45.53125</v>
      </c>
      <c r="AS132" t="s">
        <v>68</v>
      </c>
      <c r="AT132"/>
    </row>
  </sheetData>
  <conditionalFormatting sqref="A2:AT132">
    <cfRule type="expression" dxfId="0" priority="1">
      <formula>$AS2="Excluido"</formula>
    </cfRule>
  </conditionalFormatting>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898</v>
      </c>
      <c r="B1" t="s">
        <v>899</v>
      </c>
      <c r="C1" t="s">
        <v>900</v>
      </c>
      <c r="D1" t="s">
        <v>901</v>
      </c>
    </row>
    <row r="2">
      <c r="A2"/>
      <c r="B2"/>
      <c r="C2"/>
      <c r="D2" s="1"/>
    </row>
  </sheetData>
  <pageMargins left="0.7" right="0.7" top="0.75" bottom="0.75" header="0.3" footer="0.3"/>
  <pageSetup paperSize="9" orientation="portrait" horizontalDpi="300" verticalDpi="300" r:id="rId2"/>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conta</dc:creator>
  <cp:lastModifiedBy>conta</cp:lastModifiedBy>
  <dcterms:created xsi:type="dcterms:W3CDTF">2026-03-28T01:27:59Z</dcterms:created>
</coreProperties>
</file>